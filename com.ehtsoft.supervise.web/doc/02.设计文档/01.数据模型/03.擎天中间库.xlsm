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eclipse-workspace\gap\com.ehtsoft.supervise.web\doc\02.设计文档\01.数据模型\"/>
    </mc:Choice>
  </mc:AlternateContent>
  <bookViews>
    <workbookView xWindow="0" yWindow="0" windowWidth="14940" windowHeight="10320" tabRatio="625" firstSheet="7" activeTab="10"/>
  </bookViews>
  <sheets>
    <sheet name="目录" sheetId="1" r:id="rId1"/>
    <sheet name="Template" sheetId="2" r:id="rId2"/>
    <sheet name="BIZ_ADVISORYCASE" sheetId="228" r:id="rId3"/>
    <sheet name="BIZ_AIDCASE" sheetId="229" r:id="rId4"/>
    <sheet name="BIZ_CASEHUMAN" sheetId="230" r:id="rId5"/>
    <sheet name="BIZ_AIDCASEAPPLYITEMTYPE" sheetId="231" r:id="rId6"/>
    <sheet name="BIZ_CASEHUMANECONOMIC" sheetId="232" r:id="rId7"/>
    <sheet name="BIZ_CASEHUMANFAMILYANDECONOMIC" sheetId="233" r:id="rId8"/>
    <sheet name="BIZ_CASEHUMANCROWDTYPE" sheetId="235" r:id="rId9"/>
    <sheet name="SYS_USER" sheetId="236" r:id="rId10"/>
    <sheet name="SYS_DEPT" sheetId="237" r:id="rId11"/>
  </sheets>
  <functionGroups builtInGroupCount="18"/>
  <definedNames>
    <definedName name="_xlnm._FilterDatabase" localSheetId="0" hidden="1">目录!$A$2:$G$2</definedName>
  </definedNames>
  <calcPr calcId="152511"/>
</workbook>
</file>

<file path=xl/calcChain.xml><?xml version="1.0" encoding="utf-8"?>
<calcChain xmlns="http://schemas.openxmlformats.org/spreadsheetml/2006/main">
  <c r="C12" i="1" l="1"/>
  <c r="C11" i="1"/>
  <c r="C10" i="1"/>
  <c r="C9" i="1"/>
  <c r="C8" i="1"/>
  <c r="C7" i="1"/>
  <c r="C6" i="1"/>
  <c r="C5" i="1"/>
  <c r="C4" i="1"/>
</calcChain>
</file>

<file path=xl/comments1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.xml><?xml version="1.0" encoding="utf-8"?>
<comments xmlns="http://schemas.openxmlformats.org/spreadsheetml/2006/main">
  <authors>
    <author>wangbao</author>
  </authors>
  <commentList>
    <comment ref="G3" authorId="0" shape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sharedStrings.xml><?xml version="1.0" encoding="utf-8"?>
<sst xmlns="http://schemas.openxmlformats.org/spreadsheetml/2006/main" count="660" uniqueCount="368">
  <si>
    <t>矫正人员管理系统数据模型</t>
  </si>
  <si>
    <t>序号</t>
  </si>
  <si>
    <t>表名（英文）</t>
  </si>
  <si>
    <t>链接</t>
  </si>
  <si>
    <t>表描述</t>
  </si>
  <si>
    <t>备注</t>
  </si>
  <si>
    <t>基础表</t>
  </si>
  <si>
    <t>模型设计情况</t>
  </si>
  <si>
    <t>七、法律援助</t>
  </si>
  <si>
    <t>返回</t>
  </si>
  <si>
    <t>集合名</t>
  </si>
  <si>
    <t>集合描述</t>
  </si>
  <si>
    <t>名称</t>
  </si>
  <si>
    <t>字段</t>
  </si>
  <si>
    <t>类型</t>
  </si>
  <si>
    <t>长度</t>
  </si>
  <si>
    <t>约束</t>
  </si>
  <si>
    <t>是否必须输入项目</t>
  </si>
  <si>
    <t>默认值</t>
  </si>
  <si>
    <t>外键表及字段</t>
  </si>
  <si>
    <t>PK</t>
  </si>
  <si>
    <t>Y</t>
  </si>
  <si>
    <t>系统自动生成</t>
  </si>
  <si>
    <t>删除标记</t>
  </si>
  <si>
    <t>del</t>
  </si>
  <si>
    <t>integer</t>
  </si>
  <si>
    <t>0 没有删除   1 已经被删除</t>
  </si>
  <si>
    <t>审核标记</t>
  </si>
  <si>
    <t>audit</t>
  </si>
  <si>
    <t>0、未审核状态 1、通过</t>
  </si>
  <si>
    <t>创建时间戳</t>
  </si>
  <si>
    <t>cts</t>
  </si>
  <si>
    <t>timestamp</t>
  </si>
  <si>
    <t>数据创建（插入）保存当前插入数据的毫秒数</t>
  </si>
  <si>
    <t>更新时间戳</t>
  </si>
  <si>
    <t>uts</t>
  </si>
  <si>
    <t>数据更新操作时，更新其属性为当前的毫秒数</t>
  </si>
  <si>
    <t>创建日期</t>
  </si>
  <si>
    <t>cdate</t>
  </si>
  <si>
    <t>创建日期(不含时分秒) 数据格式 yyyyMMddd 数字类型，如：20150202</t>
  </si>
  <si>
    <t>更新日期</t>
  </si>
  <si>
    <t>udate</t>
  </si>
  <si>
    <t>修改日期(不含时分秒) 数据格式 yyyyMMddd 数字类型，如：20150202</t>
  </si>
  <si>
    <t>当前创建人员</t>
  </si>
  <si>
    <t>cuid</t>
  </si>
  <si>
    <t>uuid</t>
  </si>
  <si>
    <t>当前创建的人员id :user.getUid() (core_personnel.sysid)</t>
  </si>
  <si>
    <t>当前更新人员</t>
  </si>
  <si>
    <t>当前更新的人员id :user.getUid() (core_personnel.sysid)</t>
  </si>
  <si>
    <t>当前创建账号</t>
  </si>
  <si>
    <t>caid</t>
  </si>
  <si>
    <t>当前创建的账号ID :user.getAid() (core_account.sysid)</t>
  </si>
  <si>
    <t>当前更新账号</t>
  </si>
  <si>
    <t>uaid</t>
  </si>
  <si>
    <t>当前更新的账号ID :user.getAid() (core_account.sysid)</t>
  </si>
  <si>
    <t>当前机构</t>
  </si>
  <si>
    <t>orgid</t>
  </si>
  <si>
    <t>当前登录人机构ID: user.getOrgid()(core_organization.sysid)</t>
  </si>
  <si>
    <t>remark</t>
  </si>
  <si>
    <t>string</t>
  </si>
  <si>
    <t>备注：</t>
  </si>
  <si>
    <t>主键</t>
  </si>
  <si>
    <t>ID</t>
  </si>
  <si>
    <t>姓名</t>
  </si>
  <si>
    <t>性别</t>
  </si>
  <si>
    <t>民族</t>
  </si>
  <si>
    <t>出生日期</t>
  </si>
  <si>
    <t>文化程度</t>
  </si>
  <si>
    <t>婚姻状况</t>
  </si>
  <si>
    <t>double</t>
  </si>
  <si>
    <t>联系电话</t>
  </si>
  <si>
    <t>UUID</t>
  </si>
  <si>
    <t>10,2</t>
  </si>
  <si>
    <t>住所地址行政区划</t>
  </si>
  <si>
    <t>健康状况</t>
  </si>
  <si>
    <t>证件类别</t>
  </si>
  <si>
    <t>职业</t>
  </si>
  <si>
    <t>户籍所在地行政区划</t>
  </si>
  <si>
    <t>同案人数</t>
  </si>
  <si>
    <t>工作单位或雇主</t>
  </si>
  <si>
    <t>案由编码</t>
  </si>
  <si>
    <t>案由名称</t>
  </si>
  <si>
    <t>是否有汽车</t>
  </si>
  <si>
    <t>是否有房产</t>
  </si>
  <si>
    <t>房产面积（平方米）</t>
  </si>
  <si>
    <t>房产套数</t>
  </si>
  <si>
    <t>家庭人均收入</t>
  </si>
  <si>
    <t>总收入</t>
  </si>
  <si>
    <t>现金存款等资产</t>
  </si>
  <si>
    <t>证明日期</t>
  </si>
  <si>
    <t>证明单位</t>
  </si>
  <si>
    <t>重大支出</t>
  </si>
  <si>
    <t>工作或学习单位</t>
  </si>
  <si>
    <t>工资收入</t>
  </si>
  <si>
    <t>生产经营收入</t>
  </si>
  <si>
    <t>其他收入</t>
  </si>
  <si>
    <t>家庭成员姓名</t>
  </si>
  <si>
    <t>亲属关系</t>
  </si>
  <si>
    <t>合计收入</t>
  </si>
  <si>
    <t>住所地址</t>
  </si>
  <si>
    <t>BIZ_ADVISORYCASE</t>
    <phoneticPr fontId="12" type="noConversion"/>
  </si>
  <si>
    <t>BIZ_AIDCASE</t>
    <phoneticPr fontId="12" type="noConversion"/>
  </si>
  <si>
    <t>BIZ_CASEHUMAN</t>
    <phoneticPr fontId="12" type="noConversion"/>
  </si>
  <si>
    <t>BIZ_AIDCASEAPPLYITEMTYPE</t>
    <phoneticPr fontId="12" type="noConversion"/>
  </si>
  <si>
    <t>BIZ_CASEHUMANECONOMIC</t>
    <phoneticPr fontId="12" type="noConversion"/>
  </si>
  <si>
    <t>BIZ_CASEHUMANFAMILYANDECONOMIC</t>
    <phoneticPr fontId="12" type="noConversion"/>
  </si>
  <si>
    <t>BIZ_CASEHUMANCROWDTYPE</t>
    <phoneticPr fontId="12" type="noConversion"/>
  </si>
  <si>
    <t>SYS_USER</t>
    <phoneticPr fontId="12" type="noConversion"/>
  </si>
  <si>
    <t>SYS_DEPT</t>
    <phoneticPr fontId="12" type="noConversion"/>
  </si>
  <si>
    <t>擎天-咨询表 </t>
  </si>
  <si>
    <t>擎天-咨询表 </t>
    <phoneticPr fontId="12" type="noConversion"/>
  </si>
  <si>
    <t>擎天-案件表 </t>
    <phoneticPr fontId="12" type="noConversion"/>
  </si>
  <si>
    <t>擎天-涉案人员表</t>
    <phoneticPr fontId="12" type="noConversion"/>
  </si>
  <si>
    <t>擎天-案件案由表</t>
    <phoneticPr fontId="12" type="noConversion"/>
  </si>
  <si>
    <t>擎天-案件申请人经济状况表</t>
    <phoneticPr fontId="12" type="noConversion"/>
  </si>
  <si>
    <t>擎天-申请人家庭成员及收入表</t>
    <phoneticPr fontId="12" type="noConversion"/>
  </si>
  <si>
    <t>擎天-申请人身份类别表</t>
    <phoneticPr fontId="12" type="noConversion"/>
  </si>
  <si>
    <t>擎天-法律援助机构人员表</t>
    <phoneticPr fontId="12" type="noConversion"/>
  </si>
  <si>
    <t>擎天-法律援助机构表</t>
    <phoneticPr fontId="12" type="noConversion"/>
  </si>
  <si>
    <t>后续修改</t>
    <phoneticPr fontId="12" type="noConversion"/>
  </si>
  <si>
    <t>后续修改</t>
    <phoneticPr fontId="12" type="noConversion"/>
  </si>
  <si>
    <t>PK</t>
    <phoneticPr fontId="12" type="noConversion"/>
  </si>
  <si>
    <t>PKID</t>
  </si>
  <si>
    <t>ADVISORYHUMANCOUNT</t>
  </si>
  <si>
    <t>ADVISORYITEMCODE</t>
  </si>
  <si>
    <t>ADVISORYITEMTYPE</t>
  </si>
  <si>
    <t>ADVISORYITEMVALUE</t>
  </si>
  <si>
    <t>ADVISORYTIME</t>
  </si>
  <si>
    <t>DATE</t>
  </si>
  <si>
    <t>ASKFOR</t>
  </si>
  <si>
    <t>HASTRANED</t>
  </si>
  <si>
    <t>PROCESSMODE</t>
  </si>
  <si>
    <t>REPLYER</t>
  </si>
  <si>
    <t>REPLYERID</t>
  </si>
  <si>
    <t>REPLYOPINION</t>
  </si>
  <si>
    <t>REPLYTIME</t>
  </si>
  <si>
    <t>DEPTID</t>
  </si>
  <si>
    <t>string</t>
    <phoneticPr fontId="12" type="noConversion"/>
  </si>
  <si>
    <t>处理机构代码</t>
  </si>
  <si>
    <t>BIRTHDATE</t>
  </si>
  <si>
    <t>CASEID</t>
  </si>
  <si>
    <r>
      <t>国籍</t>
    </r>
    <r>
      <rPr>
        <sz val="12"/>
        <color rgb="FFFF0000"/>
        <rFont val="Times New Roman"/>
        <family val="1"/>
      </rPr>
      <t/>
    </r>
    <phoneticPr fontId="22" type="noConversion"/>
  </si>
  <si>
    <t>COUNTRY</t>
  </si>
  <si>
    <t>CULTURE</t>
  </si>
  <si>
    <t>电子邮件</t>
  </si>
  <si>
    <t>EMAIL</t>
  </si>
  <si>
    <t>FAMILYADDRESS</t>
  </si>
  <si>
    <t>FAMILYREGIONCODE</t>
  </si>
  <si>
    <t>HEALTH</t>
  </si>
  <si>
    <t>HUMANTYPE</t>
  </si>
  <si>
    <t>证件号</t>
  </si>
  <si>
    <t>IDENTITYCARDNUMBER</t>
  </si>
  <si>
    <t>IDENTITYCARDTYPE</t>
  </si>
  <si>
    <t>JOB</t>
  </si>
  <si>
    <t>MARITALSTATUS</t>
  </si>
  <si>
    <t>NAME</t>
  </si>
  <si>
    <t>NATION</t>
  </si>
  <si>
    <t>户籍所在地地址</t>
  </si>
  <si>
    <t>ORIGINADDRESS</t>
  </si>
  <si>
    <t>ORIGINREGIONCODE</t>
  </si>
  <si>
    <t>PERSONCOUNT</t>
  </si>
  <si>
    <t>PHONENUMBER</t>
  </si>
  <si>
    <t>SEX</t>
  </si>
  <si>
    <t>WORKUNITOREMPLOYEE</t>
  </si>
  <si>
    <t>CASEAPPLYITEMCODE</t>
  </si>
  <si>
    <t>CASEAPPLYITEMNAME</t>
  </si>
  <si>
    <r>
      <t>案件</t>
    </r>
    <r>
      <rPr>
        <b/>
        <sz val="12"/>
        <color rgb="FFFF0000"/>
        <rFont val="Times New Roman"/>
        <family val="1"/>
      </rPr>
      <t>id</t>
    </r>
  </si>
  <si>
    <r>
      <t>受援人</t>
    </r>
    <r>
      <rPr>
        <sz val="12"/>
        <rFont val="Times New Roman"/>
        <family val="1"/>
      </rPr>
      <t>id</t>
    </r>
  </si>
  <si>
    <t>HASCAR</t>
  </si>
  <si>
    <t>HASHOUSE</t>
  </si>
  <si>
    <t>HOUSEAREA</t>
  </si>
  <si>
    <t>HOUSECOUNT</t>
  </si>
  <si>
    <t>HUMANID</t>
  </si>
  <si>
    <t>INCOMEAVG</t>
  </si>
  <si>
    <t>INCOMETOTAL</t>
  </si>
  <si>
    <t>MONEY</t>
  </si>
  <si>
    <t>OPINIONDATE</t>
  </si>
  <si>
    <t>OPINIONDEPT</t>
  </si>
  <si>
    <t>PAYMENT</t>
  </si>
  <si>
    <t>AGE</t>
  </si>
  <si>
    <t>DEPT</t>
  </si>
  <si>
    <t>MONEY1</t>
  </si>
  <si>
    <t>MONEY2</t>
  </si>
  <si>
    <t>MONEY3</t>
  </si>
  <si>
    <t>RELATION</t>
  </si>
  <si>
    <t>MONEYTOTAL</t>
  </si>
  <si>
    <t>家庭成员年龄</t>
  </si>
  <si>
    <t>主键</t>
    <phoneticPr fontId="12" type="noConversion"/>
  </si>
  <si>
    <t>PKID</t>
    <phoneticPr fontId="12" type="noConversion"/>
  </si>
  <si>
    <t>integer</t>
    <phoneticPr fontId="22" type="noConversion"/>
  </si>
  <si>
    <t>同来人数</t>
    <phoneticPr fontId="12" type="noConversion"/>
  </si>
  <si>
    <t>ADVISORYHUMANCOUNT</t>
    <phoneticPr fontId="12" type="noConversion"/>
  </si>
  <si>
    <t>integer</t>
    <phoneticPr fontId="12" type="noConversion"/>
  </si>
  <si>
    <t>咨询事项类型编码</t>
    <phoneticPr fontId="12" type="noConversion"/>
  </si>
  <si>
    <t>ADVISORYITEMCODE</t>
    <phoneticPr fontId="12" type="noConversion"/>
  </si>
  <si>
    <t>咨询事项类型名称</t>
    <phoneticPr fontId="12" type="noConversion"/>
  </si>
  <si>
    <t>ADVISORYITEMTYPE</t>
    <phoneticPr fontId="12" type="noConversion"/>
  </si>
  <si>
    <t>咨询事项</t>
    <phoneticPr fontId="12" type="noConversion"/>
  </si>
  <si>
    <t>ADVISORYITEMVALUE</t>
    <phoneticPr fontId="12" type="noConversion"/>
  </si>
  <si>
    <t>咨询时间</t>
    <phoneticPr fontId="12" type="noConversion"/>
  </si>
  <si>
    <t>ADVISORYTIME</t>
    <phoneticPr fontId="12" type="noConversion"/>
  </si>
  <si>
    <t>ASKFOR</t>
    <phoneticPr fontId="12" type="noConversion"/>
  </si>
  <si>
    <t>是否送法援申请</t>
    <phoneticPr fontId="12" type="noConversion"/>
  </si>
  <si>
    <t>HASTRANED</t>
    <phoneticPr fontId="12" type="noConversion"/>
  </si>
  <si>
    <t>处理方式</t>
    <phoneticPr fontId="12" type="noConversion"/>
  </si>
  <si>
    <t>接待人姓名</t>
    <phoneticPr fontId="12" type="noConversion"/>
  </si>
  <si>
    <t>REPLYER</t>
    <phoneticPr fontId="12" type="noConversion"/>
  </si>
  <si>
    <t>REPLYERID</t>
    <phoneticPr fontId="12" type="noConversion"/>
  </si>
  <si>
    <t>答复意见</t>
    <phoneticPr fontId="12" type="noConversion"/>
  </si>
  <si>
    <t>REPLYOPINION</t>
    <phoneticPr fontId="12" type="noConversion"/>
  </si>
  <si>
    <t>接待日期</t>
    <phoneticPr fontId="12" type="noConversion"/>
  </si>
  <si>
    <t>REPLYTIME</t>
    <phoneticPr fontId="12" type="noConversion"/>
  </si>
  <si>
    <t>DEPTID</t>
    <phoneticPr fontId="12" type="noConversion"/>
  </si>
  <si>
    <t>PROCESSMODE</t>
    <phoneticPr fontId="12" type="noConversion"/>
  </si>
  <si>
    <t>接待人id</t>
    <phoneticPr fontId="12" type="noConversion"/>
  </si>
  <si>
    <t>接待咨询:咨询内容</t>
    <phoneticPr fontId="12" type="noConversion"/>
  </si>
  <si>
    <t>处理机构ID</t>
    <phoneticPr fontId="12" type="noConversion"/>
  </si>
  <si>
    <t>擎天-案件表 </t>
  </si>
  <si>
    <t>咨询内容</t>
    <phoneticPr fontId="12" type="noConversion"/>
  </si>
  <si>
    <t>ADVISORYCONTENT</t>
    <phoneticPr fontId="12" type="noConversion"/>
  </si>
  <si>
    <t>string</t>
    <phoneticPr fontId="12" type="noConversion"/>
  </si>
  <si>
    <t>受理时间</t>
    <phoneticPr fontId="12" type="noConversion"/>
  </si>
  <si>
    <t>AIDTIME</t>
    <phoneticPr fontId="12" type="noConversion"/>
  </si>
  <si>
    <t>案情描述</t>
    <phoneticPr fontId="12" type="noConversion"/>
  </si>
  <si>
    <t>CASEDETAIL</t>
    <phoneticPr fontId="12" type="noConversion"/>
  </si>
  <si>
    <t>法律状态子项</t>
    <phoneticPr fontId="12" type="noConversion"/>
  </si>
  <si>
    <t>CASELEAGLSTATUSVALUE</t>
    <phoneticPr fontId="12" type="noConversion"/>
  </si>
  <si>
    <t>法律状态</t>
    <phoneticPr fontId="12" type="noConversion"/>
  </si>
  <si>
    <t>CASELEGALSTATUS</t>
    <phoneticPr fontId="12" type="noConversion"/>
  </si>
  <si>
    <t>案件年号</t>
    <phoneticPr fontId="12" type="noConversion"/>
  </si>
  <si>
    <t>CODE_YEAR</t>
    <phoneticPr fontId="12" type="noConversion"/>
  </si>
  <si>
    <t>案件期号</t>
    <phoneticPr fontId="12" type="noConversion"/>
  </si>
  <si>
    <t>CODE_NUMBER</t>
    <phoneticPr fontId="12" type="noConversion"/>
  </si>
  <si>
    <t>案件来源</t>
    <phoneticPr fontId="12" type="noConversion"/>
  </si>
  <si>
    <t>CASESOURCE</t>
    <phoneticPr fontId="12" type="noConversion"/>
  </si>
  <si>
    <t>FSTATUS</t>
    <phoneticPr fontId="12" type="noConversion"/>
  </si>
  <si>
    <t>援助方式</t>
    <phoneticPr fontId="12" type="noConversion"/>
  </si>
  <si>
    <t>AIDTYPE</t>
    <phoneticPr fontId="12" type="noConversion"/>
  </si>
  <si>
    <t>事项类型</t>
    <phoneticPr fontId="12" type="noConversion"/>
  </si>
  <si>
    <t>LEGALITEMTYPE</t>
    <phoneticPr fontId="12" type="noConversion"/>
  </si>
  <si>
    <t>法律地位</t>
    <phoneticPr fontId="12" type="noConversion"/>
  </si>
  <si>
    <t>LEGALPOSITION</t>
    <phoneticPr fontId="12" type="noConversion"/>
  </si>
  <si>
    <t>是否是群体案件：</t>
    <phoneticPr fontId="12" type="noConversion"/>
  </si>
  <si>
    <t>CASEINVOLVED</t>
    <phoneticPr fontId="12" type="noConversion"/>
  </si>
  <si>
    <t>处理机构ID</t>
    <phoneticPr fontId="12" type="noConversion"/>
  </si>
  <si>
    <t>DEPTID</t>
    <phoneticPr fontId="12" type="noConversion"/>
  </si>
  <si>
    <t>案件状态</t>
    <phoneticPr fontId="12" type="noConversion"/>
  </si>
  <si>
    <t>擎天-涉案人员表</t>
  </si>
  <si>
    <t>案件id</t>
  </si>
  <si>
    <t>人员信息类别:</t>
  </si>
  <si>
    <t>擎天-案件案由表</t>
  </si>
  <si>
    <t>PK</t>
    <phoneticPr fontId="12" type="noConversion"/>
  </si>
  <si>
    <t>主键UUID</t>
    <phoneticPr fontId="12" type="noConversion"/>
  </si>
  <si>
    <t>擎天-案件申请人经济状况表</t>
  </si>
  <si>
    <t>PK</t>
    <phoneticPr fontId="12" type="noConversion"/>
  </si>
  <si>
    <t>integer</t>
    <phoneticPr fontId="22" type="noConversion"/>
  </si>
  <si>
    <t>double</t>
    <phoneticPr fontId="22" type="noConversion"/>
  </si>
  <si>
    <t>10,2</t>
    <phoneticPr fontId="22" type="noConversion"/>
  </si>
  <si>
    <t>12,2</t>
  </si>
  <si>
    <t>string</t>
    <phoneticPr fontId="22" type="noConversion"/>
  </si>
  <si>
    <t>uuid</t>
    <phoneticPr fontId="12" type="noConversion"/>
  </si>
  <si>
    <t>擎天-申请人家庭成员及收入表</t>
  </si>
  <si>
    <t>PK</t>
    <phoneticPr fontId="12" type="noConversion"/>
  </si>
  <si>
    <t>integer</t>
    <phoneticPr fontId="22" type="noConversion"/>
  </si>
  <si>
    <r>
      <t>受援人</t>
    </r>
    <r>
      <rPr>
        <sz val="12"/>
        <color theme="1"/>
        <rFont val="Times New Roman"/>
        <family val="1"/>
      </rPr>
      <t>id</t>
    </r>
  </si>
  <si>
    <t>double</t>
    <phoneticPr fontId="22" type="noConversion"/>
  </si>
  <si>
    <t>double</t>
    <phoneticPr fontId="22" type="noConversion"/>
  </si>
  <si>
    <t>擎天-申请人身份类别表</t>
  </si>
  <si>
    <t>PK</t>
    <phoneticPr fontId="11" type="noConversion"/>
  </si>
  <si>
    <t>CROWDTYPE</t>
  </si>
  <si>
    <t>申请人身份类别</t>
  </si>
  <si>
    <t>1:残疾人2：老年人（60以上）3：未成年4：女性5：农民工6：农民7：少民族8：军人11：军属9：外国人或无国籍人10：其他</t>
    <phoneticPr fontId="11" type="noConversion"/>
  </si>
  <si>
    <t>擎天-法律援助机构人员表</t>
  </si>
  <si>
    <t>PK</t>
    <phoneticPr fontId="11" type="noConversion"/>
  </si>
  <si>
    <t>CHINANAME</t>
  </si>
  <si>
    <t>LOGINNAME</t>
  </si>
  <si>
    <t>BIRTH</t>
  </si>
  <si>
    <t>MOBILE</t>
  </si>
  <si>
    <t>PHONEDEPT</t>
  </si>
  <si>
    <t>PHONEHOME</t>
  </si>
  <si>
    <t>PERSONROLES</t>
  </si>
  <si>
    <t>IDENTITYNUM</t>
  </si>
  <si>
    <t>POLITICALFACE</t>
  </si>
  <si>
    <t>PROFESSION</t>
  </si>
  <si>
    <t>WORKUNIT</t>
  </si>
  <si>
    <t>FIRSTWORKDATE</t>
  </si>
  <si>
    <t>DUTYBEGINDATE</t>
  </si>
  <si>
    <t>WORKBEGINDATE</t>
  </si>
  <si>
    <t>ISLEGALWORK</t>
  </si>
  <si>
    <t>LEGALWORKCARDNUMBER</t>
  </si>
  <si>
    <t>WORKCARDNUMBER</t>
  </si>
  <si>
    <t>CASENUMBER</t>
  </si>
  <si>
    <t>CAREERTYPE</t>
  </si>
  <si>
    <t>IDCARDTYPE</t>
  </si>
  <si>
    <t>IDCARDNO</t>
  </si>
  <si>
    <t>登录名</t>
  </si>
  <si>
    <t>出生年月</t>
  </si>
  <si>
    <t>移动电话</t>
  </si>
  <si>
    <t>单位电话</t>
  </si>
  <si>
    <t>家庭电话</t>
  </si>
  <si>
    <t>人员角色</t>
  </si>
  <si>
    <t>证件号码</t>
  </si>
  <si>
    <t>所属机构编码</t>
  </si>
  <si>
    <t>政治面貌</t>
  </si>
  <si>
    <t>专业</t>
  </si>
  <si>
    <t>工作单位名称</t>
  </si>
  <si>
    <t>职务</t>
  </si>
  <si>
    <t>参加工作时间</t>
  </si>
  <si>
    <t>从事法援工作时间</t>
  </si>
  <si>
    <t>任职日期（默认与参加工作日期相同）</t>
  </si>
  <si>
    <t>资格证号</t>
  </si>
  <si>
    <t>执业证号</t>
  </si>
  <si>
    <t>办案数量</t>
  </si>
  <si>
    <t>职业身份</t>
  </si>
  <si>
    <t>证件类型</t>
  </si>
  <si>
    <t>职业资格</t>
    <phoneticPr fontId="11" type="noConversion"/>
  </si>
  <si>
    <t>（1:律师资格，2:法律职业资格，0:无）</t>
    <phoneticPr fontId="11" type="noConversion"/>
  </si>
  <si>
    <t>擎天-法律援助机构表</t>
  </si>
  <si>
    <t>DEPTLEADERS</t>
  </si>
  <si>
    <t>PARENTID</t>
  </si>
  <si>
    <t>DEPTTYPE</t>
  </si>
  <si>
    <t>REGIONCODE</t>
  </si>
  <si>
    <t>ADDRESS</t>
  </si>
  <si>
    <t>BUILDTIME</t>
  </si>
  <si>
    <t>DEPTCLASS</t>
  </si>
  <si>
    <t>DEPTYPE</t>
  </si>
  <si>
    <t>DEPTSORT</t>
  </si>
  <si>
    <t>FEE</t>
  </si>
  <si>
    <t>BUSINESSRANGE</t>
  </si>
  <si>
    <t>ACTUALNUM</t>
  </si>
  <si>
    <t>DEALEDCASENUM</t>
  </si>
  <si>
    <t>CONNECTMODE</t>
  </si>
  <si>
    <t>部门负责人</t>
  </si>
  <si>
    <t>部门名称</t>
  </si>
  <si>
    <t>上级部门</t>
  </si>
  <si>
    <t>单位性质</t>
  </si>
  <si>
    <t>区域代码</t>
  </si>
  <si>
    <t>单位地址</t>
  </si>
  <si>
    <t>成立时间</t>
  </si>
  <si>
    <r>
      <t>单位类型</t>
    </r>
    <r>
      <rPr>
        <sz val="11"/>
        <color rgb="FF000000"/>
        <rFont val="Times New Roman"/>
        <family val="1"/>
      </rPr>
      <t>1</t>
    </r>
    <r>
      <rPr>
        <sz val="11"/>
        <color rgb="FF000000"/>
        <rFont val="宋体"/>
        <family val="3"/>
        <charset val="134"/>
      </rPr>
      <t>管理</t>
    </r>
    <r>
      <rPr>
        <sz val="11"/>
        <color rgb="FF000000"/>
        <rFont val="Times New Roman"/>
        <family val="1"/>
      </rPr>
      <t>2</t>
    </r>
    <r>
      <rPr>
        <sz val="11"/>
        <color rgb="FF000000"/>
        <rFont val="宋体"/>
        <family val="3"/>
        <charset val="134"/>
      </rPr>
      <t>法援</t>
    </r>
  </si>
  <si>
    <r>
      <t>单位种类（法援中心</t>
    </r>
    <r>
      <rPr>
        <sz val="11"/>
        <color rgb="FF000000"/>
        <rFont val="Times New Roman"/>
        <family val="1"/>
      </rPr>
      <t>/</t>
    </r>
    <r>
      <rPr>
        <sz val="11"/>
        <color rgb="FF000000"/>
        <rFont val="宋体"/>
        <family val="3"/>
        <charset val="134"/>
      </rPr>
      <t>管理处）</t>
    </r>
  </si>
  <si>
    <r>
      <t>机构种类</t>
    </r>
    <r>
      <rPr>
        <sz val="11"/>
        <color rgb="FF000000"/>
        <rFont val="Times New Roman"/>
        <family val="1"/>
      </rPr>
      <t xml:space="preserve"> 1</t>
    </r>
    <r>
      <rPr>
        <sz val="11"/>
        <color rgb="FF000000"/>
        <rFont val="宋体"/>
        <family val="3"/>
        <charset val="134"/>
      </rPr>
      <t>、法律援助中心</t>
    </r>
    <r>
      <rPr>
        <sz val="11"/>
        <color rgb="FF000000"/>
        <rFont val="Times New Roman"/>
        <family val="1"/>
      </rPr>
      <t xml:space="preserve">  2</t>
    </r>
    <r>
      <rPr>
        <sz val="11"/>
        <color rgb="FF000000"/>
        <rFont val="宋体"/>
        <family val="3"/>
        <charset val="134"/>
      </rPr>
      <t>、社会法援组织</t>
    </r>
  </si>
  <si>
    <t>独立经费</t>
  </si>
  <si>
    <t>业务范围</t>
  </si>
  <si>
    <t>实有人数</t>
  </si>
  <si>
    <t>办理案件数</t>
  </si>
  <si>
    <t>联系方式</t>
  </si>
  <si>
    <t>string</t>
    <phoneticPr fontId="22" type="noConversion"/>
  </si>
  <si>
    <t>uuid</t>
    <phoneticPr fontId="11" type="noConversion"/>
  </si>
  <si>
    <t>string</t>
    <phoneticPr fontId="12" type="noConversion"/>
  </si>
  <si>
    <t>integer</t>
    <phoneticPr fontId="12" type="noConversion"/>
  </si>
  <si>
    <t>integer</t>
    <phoneticPr fontId="12" type="noConversion"/>
  </si>
  <si>
    <t>uuid</t>
    <phoneticPr fontId="12" type="noConversion"/>
  </si>
  <si>
    <t>uuid</t>
    <phoneticPr fontId="12" type="noConversion"/>
  </si>
  <si>
    <t>string</t>
    <phoneticPr fontId="12" type="noConversion"/>
  </si>
  <si>
    <t>string</t>
    <phoneticPr fontId="11" type="noConversion"/>
  </si>
  <si>
    <t>string</t>
    <phoneticPr fontId="11" type="noConversion"/>
  </si>
  <si>
    <t>BIZ_ADVISORYCASE</t>
    <phoneticPr fontId="12" type="noConversion"/>
  </si>
  <si>
    <t>BIZ_AIDCASE</t>
    <phoneticPr fontId="12" type="noConversion"/>
  </si>
  <si>
    <t>PKID</t>
    <phoneticPr fontId="12" type="noConversion"/>
  </si>
  <si>
    <t>BIZ_CASEHUMAN</t>
    <phoneticPr fontId="12" type="noConversion"/>
  </si>
  <si>
    <t>BIZ_AIDCASEAPPLYITEMTYPE</t>
    <phoneticPr fontId="12" type="noConversion"/>
  </si>
  <si>
    <t>BIZ_CASEHUMANECONOMIC</t>
    <phoneticPr fontId="12" type="noConversion"/>
  </si>
  <si>
    <t>BIZ_CASEHUMANFAMILYANDECONOMIC</t>
    <phoneticPr fontId="12" type="noConversion"/>
  </si>
  <si>
    <t>BIZ_CASEHUMANCROWDTYPE</t>
    <phoneticPr fontId="11" type="noConversion"/>
  </si>
  <si>
    <t>ID</t>
    <phoneticPr fontId="11" type="noConversion"/>
  </si>
  <si>
    <t>SYS_USER</t>
    <phoneticPr fontId="11" type="noConversion"/>
  </si>
  <si>
    <t>SYS_DEPT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</si>
</sst>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800]dddd\,\ mmmm\ dd\,\ yyyy"/>
  </numFmts>
  <fonts count="33" x14ac:knownFonts="1">
    <font>
      <sz val="12"/>
      <name val="宋体"/>
      <charset val="134"/>
    </font>
    <font>
      <b/>
      <u/>
      <sz val="14"/>
      <color indexed="12"/>
      <name val="宋体"/>
      <family val="3"/>
      <charset val="134"/>
    </font>
    <font>
      <sz val="10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4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sz val="10"/>
      <name val="微软雅黑"/>
      <family val="2"/>
      <charset val="134"/>
    </font>
    <font>
      <sz val="11"/>
      <color indexed="8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u/>
      <sz val="10"/>
      <color indexed="20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sz val="12"/>
      <color theme="1"/>
      <name val="Times New Roman"/>
      <family val="1"/>
    </font>
    <font>
      <sz val="12"/>
      <name val="宋体"/>
      <family val="3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color rgb="FFFF0000"/>
      <name val="Times New Roman"/>
      <family val="1"/>
    </font>
    <font>
      <sz val="9"/>
      <name val="宋体"/>
      <family val="2"/>
      <charset val="134"/>
      <scheme val="minor"/>
    </font>
    <font>
      <sz val="12"/>
      <name val="Times New Roman"/>
      <family val="1"/>
    </font>
    <font>
      <b/>
      <sz val="12"/>
      <color rgb="FFFF0000"/>
      <name val="Times New Roman"/>
      <family val="1"/>
    </font>
    <font>
      <sz val="10"/>
      <color rgb="FFFF0000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12"/>
      <color rgb="FFFF0000"/>
      <name val="宋体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6">
    <xf numFmtId="176" fontId="0" fillId="0" borderId="0">
      <alignment vertical="center"/>
    </xf>
    <xf numFmtId="176" fontId="3" fillId="0" borderId="0" applyNumberFormat="0" applyFill="0" applyBorder="0" applyAlignment="0" applyProtection="0">
      <alignment vertical="center"/>
    </xf>
    <xf numFmtId="176" fontId="10" fillId="0" borderId="0">
      <alignment vertical="center"/>
    </xf>
    <xf numFmtId="176" fontId="10" fillId="0" borderId="0">
      <alignment vertical="center"/>
    </xf>
    <xf numFmtId="176" fontId="8" fillId="0" borderId="0"/>
    <xf numFmtId="176" fontId="3" fillId="0" borderId="0" applyNumberFormat="0" applyFill="0" applyBorder="0" applyAlignment="0" applyProtection="0">
      <alignment vertical="center"/>
    </xf>
    <xf numFmtId="176" fontId="3" fillId="0" borderId="0" applyNumberFormat="0" applyFill="0" applyBorder="0" applyAlignment="0" applyProtection="0">
      <alignment vertical="center"/>
    </xf>
    <xf numFmtId="176" fontId="10" fillId="0" borderId="0">
      <alignment vertical="center"/>
    </xf>
    <xf numFmtId="176" fontId="4" fillId="0" borderId="0"/>
    <xf numFmtId="176" fontId="9" fillId="0" borderId="0"/>
    <xf numFmtId="176" fontId="10" fillId="0" borderId="0">
      <alignment vertical="center"/>
    </xf>
    <xf numFmtId="176" fontId="10" fillId="0" borderId="0">
      <alignment vertical="center"/>
    </xf>
    <xf numFmtId="176" fontId="8" fillId="0" borderId="0"/>
    <xf numFmtId="176" fontId="10" fillId="0" borderId="0">
      <alignment vertical="center"/>
    </xf>
    <xf numFmtId="176" fontId="3" fillId="0" borderId="0" applyNumberFormat="0" applyFill="0" applyBorder="0" applyAlignment="0" applyProtection="0">
      <alignment vertical="center"/>
    </xf>
    <xf numFmtId="176" fontId="3" fillId="0" borderId="0" applyNumberFormat="0" applyFill="0" applyBorder="0" applyAlignment="0" applyProtection="0">
      <alignment vertical="center"/>
    </xf>
  </cellStyleXfs>
  <cellXfs count="96">
    <xf numFmtId="176" fontId="0" fillId="0" borderId="0" xfId="0">
      <alignment vertical="center"/>
    </xf>
    <xf numFmtId="176" fontId="1" fillId="2" borderId="0" xfId="1" applyFont="1" applyFill="1">
      <alignment vertical="center"/>
    </xf>
    <xf numFmtId="176" fontId="0" fillId="2" borderId="0" xfId="0" applyFill="1">
      <alignment vertical="center"/>
    </xf>
    <xf numFmtId="176" fontId="2" fillId="3" borderId="1" xfId="0" applyNumberFormat="1" applyFont="1" applyFill="1" applyBorder="1" applyAlignment="1">
      <alignment vertical="center" wrapText="1"/>
    </xf>
    <xf numFmtId="176" fontId="2" fillId="4" borderId="1" xfId="0" applyNumberFormat="1" applyFont="1" applyFill="1" applyBorder="1" applyAlignment="1">
      <alignment vertical="center" wrapText="1"/>
    </xf>
    <xf numFmtId="176" fontId="2" fillId="0" borderId="1" xfId="0" applyNumberFormat="1" applyFont="1" applyBorder="1" applyAlignment="1">
      <alignment vertical="center" wrapText="1"/>
    </xf>
    <xf numFmtId="176" fontId="2" fillId="0" borderId="2" xfId="0" applyNumberFormat="1" applyFont="1" applyBorder="1" applyAlignment="1">
      <alignment vertical="center" wrapText="1"/>
    </xf>
    <xf numFmtId="176" fontId="2" fillId="2" borderId="3" xfId="0" applyNumberFormat="1" applyFont="1" applyFill="1" applyBorder="1" applyAlignment="1">
      <alignment vertical="center" wrapText="1"/>
    </xf>
    <xf numFmtId="176" fontId="2" fillId="2" borderId="4" xfId="0" applyNumberFormat="1" applyFont="1" applyFill="1" applyBorder="1" applyAlignment="1">
      <alignment vertical="center" wrapText="1"/>
    </xf>
    <xf numFmtId="176" fontId="2" fillId="2" borderId="5" xfId="0" applyNumberFormat="1" applyFont="1" applyFill="1" applyBorder="1" applyAlignment="1">
      <alignment vertical="center" wrapText="1"/>
    </xf>
    <xf numFmtId="176" fontId="2" fillId="2" borderId="6" xfId="0" applyNumberFormat="1" applyFont="1" applyFill="1" applyBorder="1" applyAlignment="1">
      <alignment vertical="center" wrapText="1"/>
    </xf>
    <xf numFmtId="176" fontId="2" fillId="0" borderId="7" xfId="0" applyNumberFormat="1" applyFont="1" applyBorder="1" applyAlignment="1">
      <alignment vertical="center" wrapText="1"/>
    </xf>
    <xf numFmtId="176" fontId="2" fillId="2" borderId="8" xfId="0" applyNumberFormat="1" applyFont="1" applyFill="1" applyBorder="1" applyAlignment="1">
      <alignment vertical="center" wrapText="1"/>
    </xf>
    <xf numFmtId="176" fontId="2" fillId="2" borderId="1" xfId="0" applyNumberFormat="1" applyFont="1" applyFill="1" applyBorder="1" applyAlignment="1">
      <alignment vertical="center" wrapText="1"/>
    </xf>
    <xf numFmtId="176" fontId="2" fillId="2" borderId="2" xfId="0" applyNumberFormat="1" applyFont="1" applyFill="1" applyBorder="1" applyAlignment="1">
      <alignment vertical="center" wrapText="1"/>
    </xf>
    <xf numFmtId="176" fontId="2" fillId="2" borderId="7" xfId="0" applyNumberFormat="1" applyFont="1" applyFill="1" applyBorder="1" applyAlignment="1">
      <alignment vertical="center" wrapText="1"/>
    </xf>
    <xf numFmtId="176" fontId="1" fillId="2" borderId="1" xfId="1" applyFont="1" applyFill="1" applyBorder="1">
      <alignment vertical="center"/>
    </xf>
    <xf numFmtId="176" fontId="0" fillId="2" borderId="1" xfId="0" applyFill="1" applyBorder="1">
      <alignment vertical="center"/>
    </xf>
    <xf numFmtId="176" fontId="2" fillId="0" borderId="1" xfId="0" applyFont="1" applyBorder="1">
      <alignment vertical="center"/>
    </xf>
    <xf numFmtId="176" fontId="2" fillId="4" borderId="1" xfId="0" applyNumberFormat="1" applyFont="1" applyFill="1" applyBorder="1" applyAlignment="1">
      <alignment vertical="center" wrapText="1"/>
    </xf>
    <xf numFmtId="176" fontId="2" fillId="0" borderId="0" xfId="0" applyFont="1">
      <alignment vertical="center"/>
    </xf>
    <xf numFmtId="176" fontId="2" fillId="0" borderId="0" xfId="0" applyFont="1" applyBorder="1" applyAlignment="1">
      <alignment horizontal="center" vertical="center"/>
    </xf>
    <xf numFmtId="176" fontId="2" fillId="0" borderId="0" xfId="0" applyFont="1" applyBorder="1">
      <alignment vertical="center"/>
    </xf>
    <xf numFmtId="176" fontId="2" fillId="0" borderId="0" xfId="0" applyFont="1" applyBorder="1" applyAlignment="1">
      <alignment vertical="center" wrapText="1"/>
    </xf>
    <xf numFmtId="176" fontId="2" fillId="0" borderId="0" xfId="0" applyFont="1" applyAlignment="1">
      <alignment horizontal="center" vertical="center"/>
    </xf>
    <xf numFmtId="176" fontId="6" fillId="2" borderId="8" xfId="0" applyFont="1" applyFill="1" applyBorder="1" applyAlignment="1">
      <alignment horizontal="center" vertical="center"/>
    </xf>
    <xf numFmtId="176" fontId="6" fillId="2" borderId="8" xfId="0" applyFont="1" applyFill="1" applyBorder="1" applyAlignment="1">
      <alignment horizontal="center" vertical="center" wrapText="1"/>
    </xf>
    <xf numFmtId="176" fontId="2" fillId="0" borderId="1" xfId="0" applyFont="1" applyBorder="1" applyAlignment="1">
      <alignment vertical="center" wrapText="1"/>
    </xf>
    <xf numFmtId="176" fontId="2" fillId="0" borderId="1" xfId="0" applyFont="1" applyBorder="1" applyAlignment="1">
      <alignment horizontal="center" vertical="center"/>
    </xf>
    <xf numFmtId="176" fontId="2" fillId="3" borderId="1" xfId="0" applyNumberFormat="1" applyFont="1" applyFill="1" applyBorder="1" applyAlignment="1">
      <alignment vertical="center" wrapText="1"/>
    </xf>
    <xf numFmtId="176" fontId="13" fillId="0" borderId="1" xfId="0" applyFont="1" applyBorder="1">
      <alignment vertical="center"/>
    </xf>
    <xf numFmtId="176" fontId="13" fillId="0" borderId="1" xfId="0" applyFont="1" applyBorder="1" applyAlignment="1">
      <alignment vertical="center" wrapText="1"/>
    </xf>
    <xf numFmtId="176" fontId="14" fillId="0" borderId="1" xfId="0" applyFont="1" applyBorder="1">
      <alignment vertical="center"/>
    </xf>
    <xf numFmtId="176" fontId="15" fillId="5" borderId="1" xfId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vertical="center" wrapText="1"/>
    </xf>
    <xf numFmtId="0" fontId="16" fillId="2" borderId="8" xfId="0" applyNumberFormat="1" applyFont="1" applyFill="1" applyBorder="1" applyAlignment="1">
      <alignment horizontal="center" vertical="center"/>
    </xf>
    <xf numFmtId="0" fontId="7" fillId="5" borderId="2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0" fillId="2" borderId="0" xfId="0" applyNumberFormat="1" applyFill="1">
      <alignment vertical="center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4" borderId="1" xfId="0" applyNumberFormat="1" applyFont="1" applyFill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vertical="center" wrapText="1"/>
    </xf>
    <xf numFmtId="0" fontId="2" fillId="2" borderId="4" xfId="0" applyNumberFormat="1" applyFont="1" applyFill="1" applyBorder="1" applyAlignment="1">
      <alignment vertical="center" wrapText="1"/>
    </xf>
    <xf numFmtId="0" fontId="0" fillId="0" borderId="0" xfId="0" applyNumberFormat="1">
      <alignment vertical="center"/>
    </xf>
    <xf numFmtId="176" fontId="23" fillId="0" borderId="11" xfId="0" applyFont="1" applyBorder="1" applyAlignment="1">
      <alignment horizontal="justify" vertical="center" wrapText="1"/>
    </xf>
    <xf numFmtId="176" fontId="23" fillId="0" borderId="12" xfId="0" applyFont="1" applyBorder="1" applyAlignment="1">
      <alignment horizontal="justify" vertical="center" wrapText="1"/>
    </xf>
    <xf numFmtId="176" fontId="19" fillId="0" borderId="1" xfId="0" applyFont="1" applyBorder="1" applyAlignment="1">
      <alignment horizontal="justify" vertical="center" wrapText="1"/>
    </xf>
    <xf numFmtId="176" fontId="25" fillId="0" borderId="1" xfId="0" applyFont="1" applyBorder="1" applyAlignment="1">
      <alignment horizontal="justify" vertical="center" wrapText="1"/>
    </xf>
    <xf numFmtId="176" fontId="20" fillId="0" borderId="1" xfId="0" applyFont="1" applyBorder="1" applyAlignment="1">
      <alignment horizontal="justify" vertical="center" wrapText="1"/>
    </xf>
    <xf numFmtId="176" fontId="26" fillId="0" borderId="1" xfId="0" applyFont="1" applyBorder="1" applyAlignment="1">
      <alignment horizontal="justify" vertical="center" wrapText="1"/>
    </xf>
    <xf numFmtId="0" fontId="27" fillId="0" borderId="1" xfId="0" applyNumberFormat="1" applyFont="1" applyBorder="1">
      <alignment vertical="center"/>
    </xf>
    <xf numFmtId="176" fontId="28" fillId="0" borderId="1" xfId="0" applyFont="1" applyBorder="1" applyAlignment="1">
      <alignment horizontal="justify" vertical="center" wrapText="1"/>
    </xf>
    <xf numFmtId="176" fontId="29" fillId="0" borderId="1" xfId="0" applyFont="1" applyBorder="1" applyAlignment="1">
      <alignment horizontal="justify" vertical="center" wrapText="1"/>
    </xf>
    <xf numFmtId="0" fontId="26" fillId="0" borderId="1" xfId="0" applyNumberFormat="1" applyFont="1" applyBorder="1" applyAlignment="1">
      <alignment horizontal="justify" vertical="center" wrapText="1"/>
    </xf>
    <xf numFmtId="0" fontId="2" fillId="2" borderId="7" xfId="0" applyNumberFormat="1" applyFont="1" applyFill="1" applyBorder="1" applyAlignment="1">
      <alignment vertical="center" wrapText="1"/>
    </xf>
    <xf numFmtId="0" fontId="2" fillId="2" borderId="6" xfId="0" applyNumberFormat="1" applyFont="1" applyFill="1" applyBorder="1" applyAlignment="1">
      <alignment vertical="center" wrapText="1"/>
    </xf>
    <xf numFmtId="0" fontId="0" fillId="2" borderId="1" xfId="0" applyNumberFormat="1" applyFill="1" applyBorder="1">
      <alignment vertical="center"/>
    </xf>
    <xf numFmtId="0" fontId="19" fillId="0" borderId="1" xfId="0" applyNumberFormat="1" applyFont="1" applyBorder="1">
      <alignment vertical="center"/>
    </xf>
    <xf numFmtId="176" fontId="14" fillId="0" borderId="1" xfId="0" applyNumberFormat="1" applyFont="1" applyBorder="1" applyAlignment="1">
      <alignment vertical="center" wrapText="1"/>
    </xf>
    <xf numFmtId="176" fontId="24" fillId="0" borderId="12" xfId="0" applyFont="1" applyBorder="1" applyAlignment="1">
      <alignment horizontal="justify" vertical="center" wrapText="1"/>
    </xf>
    <xf numFmtId="176" fontId="18" fillId="0" borderId="11" xfId="0" applyFont="1" applyBorder="1" applyAlignment="1">
      <alignment horizontal="justify" vertical="center" wrapText="1"/>
    </xf>
    <xf numFmtId="176" fontId="18" fillId="0" borderId="12" xfId="0" applyFont="1" applyBorder="1" applyAlignment="1">
      <alignment horizontal="justify" vertical="center" wrapText="1"/>
    </xf>
    <xf numFmtId="176" fontId="30" fillId="0" borderId="12" xfId="0" applyFont="1" applyBorder="1" applyAlignment="1">
      <alignment horizontal="justify" vertical="center" wrapText="1"/>
    </xf>
    <xf numFmtId="0" fontId="0" fillId="0" borderId="0" xfId="0" applyNumberFormat="1" applyAlignment="1">
      <alignment horizontal="left"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2" borderId="2" xfId="0" applyNumberFormat="1" applyFont="1" applyFill="1" applyBorder="1" applyAlignment="1">
      <alignment vertical="center" wrapText="1"/>
    </xf>
    <xf numFmtId="0" fontId="2" fillId="2" borderId="5" xfId="0" applyNumberFormat="1" applyFont="1" applyFill="1" applyBorder="1" applyAlignment="1">
      <alignment vertical="center" wrapText="1"/>
    </xf>
    <xf numFmtId="176" fontId="2" fillId="4" borderId="8" xfId="0" applyNumberFormat="1" applyFont="1" applyFill="1" applyBorder="1" applyAlignment="1">
      <alignment vertical="center" wrapText="1"/>
    </xf>
    <xf numFmtId="0" fontId="2" fillId="4" borderId="8" xfId="0" applyNumberFormat="1" applyFont="1" applyFill="1" applyBorder="1" applyAlignment="1">
      <alignment vertical="center" wrapText="1"/>
    </xf>
    <xf numFmtId="0" fontId="0" fillId="2" borderId="0" xfId="0" applyNumberFormat="1" applyFill="1" applyAlignment="1">
      <alignment horizontal="left" vertical="center"/>
    </xf>
    <xf numFmtId="0" fontId="2" fillId="4" borderId="8" xfId="0" applyNumberFormat="1" applyFont="1" applyFill="1" applyBorder="1" applyAlignment="1">
      <alignment horizontal="left" vertical="center" wrapText="1"/>
    </xf>
    <xf numFmtId="176" fontId="2" fillId="5" borderId="3" xfId="0" applyNumberFormat="1" applyFont="1" applyFill="1" applyBorder="1" applyAlignment="1">
      <alignment vertical="center" wrapText="1"/>
    </xf>
    <xf numFmtId="0" fontId="2" fillId="5" borderId="3" xfId="0" applyNumberFormat="1" applyFont="1" applyFill="1" applyBorder="1" applyAlignment="1">
      <alignment horizontal="left" vertical="center" wrapText="1"/>
    </xf>
    <xf numFmtId="176" fontId="13" fillId="5" borderId="3" xfId="0" applyNumberFormat="1" applyFont="1" applyFill="1" applyBorder="1" applyAlignment="1">
      <alignment vertical="center" wrapText="1"/>
    </xf>
    <xf numFmtId="0" fontId="2" fillId="4" borderId="1" xfId="0" applyNumberFormat="1" applyFont="1" applyFill="1" applyBorder="1" applyAlignment="1">
      <alignment horizontal="left" vertical="center" wrapText="1"/>
    </xf>
    <xf numFmtId="176" fontId="2" fillId="5" borderId="2" xfId="0" applyNumberFormat="1" applyFont="1" applyFill="1" applyBorder="1" applyAlignment="1">
      <alignment vertical="center" wrapText="1"/>
    </xf>
    <xf numFmtId="0" fontId="2" fillId="5" borderId="2" xfId="0" applyNumberFormat="1" applyFont="1" applyFill="1" applyBorder="1" applyAlignment="1">
      <alignment horizontal="left" vertical="center" wrapText="1"/>
    </xf>
    <xf numFmtId="176" fontId="2" fillId="4" borderId="7" xfId="0" applyNumberFormat="1" applyFont="1" applyFill="1" applyBorder="1" applyAlignment="1">
      <alignment vertical="center" wrapText="1"/>
    </xf>
    <xf numFmtId="176" fontId="2" fillId="0" borderId="3" xfId="0" applyNumberFormat="1" applyFont="1" applyBorder="1" applyAlignment="1">
      <alignment vertical="center" wrapText="1"/>
    </xf>
    <xf numFmtId="176" fontId="2" fillId="4" borderId="10" xfId="0" applyNumberFormat="1" applyFont="1" applyFill="1" applyBorder="1" applyAlignment="1">
      <alignment vertical="center" wrapText="1"/>
    </xf>
    <xf numFmtId="176" fontId="2" fillId="0" borderId="13" xfId="0" applyNumberFormat="1" applyFont="1" applyBorder="1" applyAlignment="1">
      <alignment vertical="center" wrapText="1"/>
    </xf>
    <xf numFmtId="0" fontId="2" fillId="0" borderId="3" xfId="0" applyNumberFormat="1" applyFont="1" applyBorder="1" applyAlignment="1">
      <alignment vertical="center" wrapText="1"/>
    </xf>
    <xf numFmtId="176" fontId="32" fillId="0" borderId="1" xfId="0" applyFont="1" applyBorder="1" applyAlignment="1">
      <alignment horizontal="justify" vertical="center" wrapText="1"/>
    </xf>
    <xf numFmtId="176" fontId="31" fillId="0" borderId="1" xfId="0" applyFont="1" applyBorder="1" applyAlignment="1">
      <alignment horizontal="left" vertical="center" wrapText="1"/>
    </xf>
    <xf numFmtId="176" fontId="31" fillId="0" borderId="1" xfId="0" applyFont="1" applyBorder="1" applyAlignment="1">
      <alignment horizontal="justify" vertical="center" wrapText="1"/>
    </xf>
    <xf numFmtId="0" fontId="0" fillId="0" borderId="1" xfId="0" applyNumberFormat="1" applyBorder="1">
      <alignment vertical="center"/>
    </xf>
    <xf numFmtId="176" fontId="5" fillId="0" borderId="1" xfId="0" applyFont="1" applyBorder="1" applyAlignment="1">
      <alignment horizontal="center" vertical="center"/>
    </xf>
    <xf numFmtId="176" fontId="5" fillId="0" borderId="1" xfId="0" applyFont="1" applyBorder="1" applyAlignment="1">
      <alignment horizontal="center" vertical="center" wrapText="1"/>
    </xf>
    <xf numFmtId="0" fontId="5" fillId="0" borderId="9" xfId="0" applyNumberFormat="1" applyFont="1" applyBorder="1" applyAlignment="1">
      <alignment vertical="center"/>
    </xf>
    <xf numFmtId="0" fontId="5" fillId="0" borderId="10" xfId="0" applyNumberFormat="1" applyFont="1" applyBorder="1" applyAlignment="1">
      <alignment vertical="center"/>
    </xf>
    <xf numFmtId="176" fontId="2" fillId="3" borderId="1" xfId="0" applyNumberFormat="1" applyFont="1" applyFill="1" applyBorder="1" applyAlignment="1">
      <alignment horizontal="left" vertical="center" wrapText="1"/>
    </xf>
    <xf numFmtId="176" fontId="2" fillId="3" borderId="1" xfId="0" applyNumberFormat="1" applyFont="1" applyFill="1" applyBorder="1" applyAlignment="1">
      <alignment vertical="center" wrapText="1"/>
    </xf>
    <xf numFmtId="176" fontId="2" fillId="0" borderId="1" xfId="0" applyFont="1" applyBorder="1" applyAlignment="1">
      <alignment horizontal="left" vertical="top" wrapText="1"/>
    </xf>
  </cellXfs>
  <cellStyles count="16">
    <cellStyle name="常规" xfId="0" builtinId="0"/>
    <cellStyle name="常规 2" xfId="8"/>
    <cellStyle name="常规 24" xfId="9"/>
    <cellStyle name="常规 3" xfId="10"/>
    <cellStyle name="常规 3 2" xfId="7"/>
    <cellStyle name="常规 4" xfId="11"/>
    <cellStyle name="常规 5" xfId="12"/>
    <cellStyle name="常规 5 3" xfId="4"/>
    <cellStyle name="常规 6" xfId="2"/>
    <cellStyle name="常规 6 2" xfId="3"/>
    <cellStyle name="常规 7" xfId="13"/>
    <cellStyle name="超链接" xfId="1" builtinId="8"/>
    <cellStyle name="超链接 2" xfId="14"/>
    <cellStyle name="超链接 3" xfId="15"/>
    <cellStyle name="超链接 4" xfId="5"/>
    <cellStyle name="超链接 5" xfId="6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</dxfs>
  <tableStyles count="0" defaultTableStyle="TableStyleMedium2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0</xdr:row>
          <xdr:rowOff>22860</xdr:rowOff>
        </xdr:from>
        <xdr:to>
          <xdr:col>9</xdr:col>
          <xdr:colOff>1013460</xdr:colOff>
          <xdr:row>0</xdr:row>
          <xdr:rowOff>289560</xdr:rowOff>
        </xdr:to>
        <xdr:sp macro="" textlink="">
          <xdr:nvSpPr>
            <xdr:cNvPr id="1025" name="btnCre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0</xdr:row>
          <xdr:rowOff>68580</xdr:rowOff>
        </xdr:from>
        <xdr:to>
          <xdr:col>8</xdr:col>
          <xdr:colOff>449580</xdr:colOff>
          <xdr:row>0</xdr:row>
          <xdr:rowOff>259080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541020</xdr:colOff>
          <xdr:row>0</xdr:row>
          <xdr:rowOff>30480</xdr:rowOff>
        </xdr:from>
        <xdr:to>
          <xdr:col>9</xdr:col>
          <xdr:colOff>198120</xdr:colOff>
          <xdr:row>0</xdr:row>
          <xdr:rowOff>274320</xdr:rowOff>
        </xdr:to>
        <xdr:sp macro="" textlink="">
          <xdr:nvSpPr>
            <xdr:cNvPr id="1029" name="Text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1135380</xdr:colOff>
          <xdr:row>0</xdr:row>
          <xdr:rowOff>22860</xdr:rowOff>
        </xdr:from>
        <xdr:to>
          <xdr:col>10</xdr:col>
          <xdr:colOff>106680</xdr:colOff>
          <xdr:row>0</xdr:row>
          <xdr:rowOff>297180</xdr:rowOff>
        </xdr:to>
        <xdr:sp macro="" textlink="">
          <xdr:nvSpPr>
            <xdr:cNvPr id="1030" name="btnUpdat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541020</xdr:colOff>
          <xdr:row>1</xdr:row>
          <xdr:rowOff>22860</xdr:rowOff>
        </xdr:from>
        <xdr:to>
          <xdr:col>9</xdr:col>
          <xdr:colOff>487680</xdr:colOff>
          <xdr:row>1</xdr:row>
          <xdr:rowOff>259080</xdr:rowOff>
        </xdr:to>
        <xdr:sp macro="" textlink="">
          <xdr:nvSpPr>
            <xdr:cNvPr id="1032" name="Label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</xdr:row>
          <xdr:rowOff>0</xdr:rowOff>
        </xdr:from>
        <xdr:to>
          <xdr:col>9</xdr:col>
          <xdr:colOff>1363980</xdr:colOff>
          <xdr:row>1</xdr:row>
          <xdr:rowOff>213360</xdr:rowOff>
        </xdr:to>
        <xdr:sp macro="" textlink="">
          <xdr:nvSpPr>
            <xdr:cNvPr id="1033" name="field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0</xdr:colOff>
      <xdr:row>2</xdr:row>
      <xdr:rowOff>0</xdr:rowOff>
    </xdr:from>
    <xdr:to>
      <xdr:col>9</xdr:col>
      <xdr:colOff>552450</xdr:colOff>
      <xdr:row>2</xdr:row>
      <xdr:rowOff>219075</xdr:rowOff>
    </xdr:to>
    <xdr:sp macro="" textlink="">
      <xdr:nvSpPr>
        <xdr:cNvPr id="1034" name="Label3" hidden="1"/>
        <xdr:cNvSpPr/>
      </xdr:nvSpPr>
      <xdr:spPr>
        <a:xfrm>
          <a:off x="9305925" y="11990070"/>
          <a:ext cx="1276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2</xdr:row>
      <xdr:rowOff>0</xdr:rowOff>
    </xdr:from>
    <xdr:to>
      <xdr:col>9</xdr:col>
      <xdr:colOff>1485900</xdr:colOff>
      <xdr:row>2</xdr:row>
      <xdr:rowOff>219075</xdr:rowOff>
    </xdr:to>
    <xdr:sp macro="" textlink="">
      <xdr:nvSpPr>
        <xdr:cNvPr id="1035" name="field2" hidden="1"/>
        <xdr:cNvSpPr/>
      </xdr:nvSpPr>
      <xdr:spPr>
        <a:xfrm>
          <a:off x="10563225" y="11990070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2</xdr:row>
      <xdr:rowOff>0</xdr:rowOff>
    </xdr:from>
    <xdr:to>
      <xdr:col>9</xdr:col>
      <xdr:colOff>609600</xdr:colOff>
      <xdr:row>2</xdr:row>
      <xdr:rowOff>219075</xdr:rowOff>
    </xdr:to>
    <xdr:sp macro="" textlink="">
      <xdr:nvSpPr>
        <xdr:cNvPr id="1036" name="Label4" hidden="1"/>
        <xdr:cNvSpPr/>
      </xdr:nvSpPr>
      <xdr:spPr>
        <a:xfrm>
          <a:off x="9305925" y="11990070"/>
          <a:ext cx="1333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2047875</xdr:colOff>
      <xdr:row>2</xdr:row>
      <xdr:rowOff>0</xdr:rowOff>
    </xdr:from>
    <xdr:to>
      <xdr:col>10</xdr:col>
      <xdr:colOff>266700</xdr:colOff>
      <xdr:row>3</xdr:row>
      <xdr:rowOff>171450</xdr:rowOff>
    </xdr:to>
    <xdr:sp macro="" textlink="">
      <xdr:nvSpPr>
        <xdr:cNvPr id="1037" name="CommandButton1" hidden="1"/>
        <xdr:cNvSpPr/>
      </xdr:nvSpPr>
      <xdr:spPr>
        <a:xfrm>
          <a:off x="12077700" y="11990070"/>
          <a:ext cx="6953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1419225</xdr:colOff>
      <xdr:row>2</xdr:row>
      <xdr:rowOff>0</xdr:rowOff>
    </xdr:from>
    <xdr:to>
      <xdr:col>9</xdr:col>
      <xdr:colOff>1495425</xdr:colOff>
      <xdr:row>2</xdr:row>
      <xdr:rowOff>161925</xdr:rowOff>
    </xdr:to>
    <xdr:sp macro="" textlink="">
      <xdr:nvSpPr>
        <xdr:cNvPr id="1038" name="Label5" hidden="1"/>
        <xdr:cNvSpPr/>
      </xdr:nvSpPr>
      <xdr:spPr>
        <a:xfrm>
          <a:off x="11449050" y="1199007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1514475</xdr:colOff>
      <xdr:row>2</xdr:row>
      <xdr:rowOff>0</xdr:rowOff>
    </xdr:from>
    <xdr:to>
      <xdr:col>9</xdr:col>
      <xdr:colOff>1905000</xdr:colOff>
      <xdr:row>2</xdr:row>
      <xdr:rowOff>219075</xdr:rowOff>
    </xdr:to>
    <xdr:sp macro="" textlink="">
      <xdr:nvSpPr>
        <xdr:cNvPr id="1039" name="typeLength" hidden="1"/>
        <xdr:cNvSpPr/>
      </xdr:nvSpPr>
      <xdr:spPr>
        <a:xfrm>
          <a:off x="11544300" y="11990070"/>
          <a:ext cx="390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581025</xdr:colOff>
      <xdr:row>2</xdr:row>
      <xdr:rowOff>0</xdr:rowOff>
    </xdr:from>
    <xdr:to>
      <xdr:col>9</xdr:col>
      <xdr:colOff>1409700</xdr:colOff>
      <xdr:row>2</xdr:row>
      <xdr:rowOff>238125</xdr:rowOff>
    </xdr:to>
    <xdr:sp macro="" textlink="">
      <xdr:nvSpPr>
        <xdr:cNvPr id="1040" name="ComboBox1" hidden="1"/>
        <xdr:cNvSpPr/>
      </xdr:nvSpPr>
      <xdr:spPr>
        <a:xfrm>
          <a:off x="10610850" y="11990070"/>
          <a:ext cx="828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525780</xdr:colOff>
          <xdr:row>2</xdr:row>
          <xdr:rowOff>0</xdr:rowOff>
        </xdr:from>
        <xdr:to>
          <xdr:col>9</xdr:col>
          <xdr:colOff>502920</xdr:colOff>
          <xdr:row>2</xdr:row>
          <xdr:rowOff>220980</xdr:rowOff>
        </xdr:to>
        <xdr:sp macro="" textlink="">
          <xdr:nvSpPr>
            <xdr:cNvPr id="1041" name="Label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411480</xdr:colOff>
          <xdr:row>1</xdr:row>
          <xdr:rowOff>236220</xdr:rowOff>
        </xdr:from>
        <xdr:to>
          <xdr:col>9</xdr:col>
          <xdr:colOff>1363980</xdr:colOff>
          <xdr:row>2</xdr:row>
          <xdr:rowOff>190500</xdr:rowOff>
        </xdr:to>
        <xdr:sp macro="" textlink="">
          <xdr:nvSpPr>
            <xdr:cNvPr id="1042" name="field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</xdr:row>
          <xdr:rowOff>0</xdr:rowOff>
        </xdr:from>
        <xdr:to>
          <xdr:col>9</xdr:col>
          <xdr:colOff>495300</xdr:colOff>
          <xdr:row>2</xdr:row>
          <xdr:rowOff>220980</xdr:rowOff>
        </xdr:to>
        <xdr:sp macro="" textlink="">
          <xdr:nvSpPr>
            <xdr:cNvPr id="1043" name="Label4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1927860</xdr:colOff>
          <xdr:row>2</xdr:row>
          <xdr:rowOff>0</xdr:rowOff>
        </xdr:from>
        <xdr:to>
          <xdr:col>10</xdr:col>
          <xdr:colOff>144780</xdr:colOff>
          <xdr:row>3</xdr:row>
          <xdr:rowOff>7620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1295400</xdr:colOff>
          <xdr:row>2</xdr:row>
          <xdr:rowOff>0</xdr:rowOff>
        </xdr:from>
        <xdr:to>
          <xdr:col>9</xdr:col>
          <xdr:colOff>1371600</xdr:colOff>
          <xdr:row>2</xdr:row>
          <xdr:rowOff>175260</xdr:rowOff>
        </xdr:to>
        <xdr:sp macro="" textlink="">
          <xdr:nvSpPr>
            <xdr:cNvPr id="1045" name="Label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1394460</xdr:colOff>
          <xdr:row>2</xdr:row>
          <xdr:rowOff>0</xdr:rowOff>
        </xdr:from>
        <xdr:to>
          <xdr:col>9</xdr:col>
          <xdr:colOff>1783080</xdr:colOff>
          <xdr:row>2</xdr:row>
          <xdr:rowOff>228600</xdr:rowOff>
        </xdr:to>
        <xdr:sp macro="" textlink="">
          <xdr:nvSpPr>
            <xdr:cNvPr id="1046" name="typeLengt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2</xdr:row>
          <xdr:rowOff>0</xdr:rowOff>
        </xdr:from>
        <xdr:to>
          <xdr:col>9</xdr:col>
          <xdr:colOff>1249680</xdr:colOff>
          <xdr:row>2</xdr:row>
          <xdr:rowOff>236220</xdr:rowOff>
        </xdr:to>
        <xdr:sp macro="" textlink="">
          <xdr:nvSpPr>
            <xdr:cNvPr id="1047" name="ComboBox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561975</xdr:colOff>
      <xdr:row>2</xdr:row>
      <xdr:rowOff>0</xdr:rowOff>
    </xdr:from>
    <xdr:to>
      <xdr:col>9</xdr:col>
      <xdr:colOff>504825</xdr:colOff>
      <xdr:row>2</xdr:row>
      <xdr:rowOff>235585</xdr:rowOff>
    </xdr:to>
    <xdr:sp macro="" textlink="">
      <xdr:nvSpPr>
        <xdr:cNvPr id="29" name="Label2" hidden="1"/>
        <xdr:cNvSpPr/>
      </xdr:nvSpPr>
      <xdr:spPr>
        <a:xfrm>
          <a:off x="9296400" y="18428335"/>
          <a:ext cx="12382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2</xdr:row>
      <xdr:rowOff>0</xdr:rowOff>
    </xdr:from>
    <xdr:to>
      <xdr:col>9</xdr:col>
      <xdr:colOff>1476375</xdr:colOff>
      <xdr:row>2</xdr:row>
      <xdr:rowOff>209550</xdr:rowOff>
    </xdr:to>
    <xdr:sp macro="" textlink="">
      <xdr:nvSpPr>
        <xdr:cNvPr id="30" name="field1" hidden="1"/>
        <xdr:cNvSpPr/>
      </xdr:nvSpPr>
      <xdr:spPr>
        <a:xfrm>
          <a:off x="10563225" y="18390235"/>
          <a:ext cx="942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2</xdr:row>
      <xdr:rowOff>0</xdr:rowOff>
    </xdr:from>
    <xdr:to>
      <xdr:col>9</xdr:col>
      <xdr:colOff>1485900</xdr:colOff>
      <xdr:row>3</xdr:row>
      <xdr:rowOff>149860</xdr:rowOff>
    </xdr:to>
    <xdr:sp macro="" textlink="">
      <xdr:nvSpPr>
        <xdr:cNvPr id="32" name="field2" hidden="1"/>
        <xdr:cNvSpPr/>
      </xdr:nvSpPr>
      <xdr:spPr>
        <a:xfrm>
          <a:off x="10563225" y="18571210"/>
          <a:ext cx="952500" cy="421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2019300</xdr:colOff>
      <xdr:row>2</xdr:row>
      <xdr:rowOff>0</xdr:rowOff>
    </xdr:from>
    <xdr:to>
      <xdr:col>10</xdr:col>
      <xdr:colOff>238125</xdr:colOff>
      <xdr:row>5</xdr:row>
      <xdr:rowOff>28575</xdr:rowOff>
    </xdr:to>
    <xdr:sp macro="" textlink="">
      <xdr:nvSpPr>
        <xdr:cNvPr id="34" name="CommandButton1" hidden="1"/>
        <xdr:cNvSpPr/>
      </xdr:nvSpPr>
      <xdr:spPr>
        <a:xfrm>
          <a:off x="12049125" y="18919190"/>
          <a:ext cx="695325" cy="72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1362075</xdr:colOff>
      <xdr:row>2</xdr:row>
      <xdr:rowOff>0</xdr:rowOff>
    </xdr:from>
    <xdr:to>
      <xdr:col>9</xdr:col>
      <xdr:colOff>1438275</xdr:colOff>
      <xdr:row>2</xdr:row>
      <xdr:rowOff>209550</xdr:rowOff>
    </xdr:to>
    <xdr:sp macro="" textlink="">
      <xdr:nvSpPr>
        <xdr:cNvPr id="35" name="lab" hidden="1"/>
        <xdr:cNvSpPr/>
      </xdr:nvSpPr>
      <xdr:spPr>
        <a:xfrm>
          <a:off x="11391900" y="19176365"/>
          <a:ext cx="76200" cy="2171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1466850</xdr:colOff>
      <xdr:row>2</xdr:row>
      <xdr:rowOff>0</xdr:rowOff>
    </xdr:from>
    <xdr:to>
      <xdr:col>9</xdr:col>
      <xdr:colOff>1857375</xdr:colOff>
      <xdr:row>3</xdr:row>
      <xdr:rowOff>0</xdr:rowOff>
    </xdr:to>
    <xdr:sp macro="" textlink="">
      <xdr:nvSpPr>
        <xdr:cNvPr id="36" name="typeLength" hidden="1"/>
        <xdr:cNvSpPr/>
      </xdr:nvSpPr>
      <xdr:spPr>
        <a:xfrm>
          <a:off x="11496675" y="19157315"/>
          <a:ext cx="390525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523875</xdr:colOff>
      <xdr:row>2</xdr:row>
      <xdr:rowOff>0</xdr:rowOff>
    </xdr:from>
    <xdr:to>
      <xdr:col>9</xdr:col>
      <xdr:colOff>1352550</xdr:colOff>
      <xdr:row>3</xdr:row>
      <xdr:rowOff>19050</xdr:rowOff>
    </xdr:to>
    <xdr:sp macro="" textlink="">
      <xdr:nvSpPr>
        <xdr:cNvPr id="37" name="ComboBox1" hidden="1"/>
        <xdr:cNvSpPr/>
      </xdr:nvSpPr>
      <xdr:spPr>
        <a:xfrm>
          <a:off x="10553700" y="19157315"/>
          <a:ext cx="828675" cy="293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5"/>
  <sheetViews>
    <sheetView zoomScaleNormal="100" workbookViewId="0">
      <pane ySplit="2" topLeftCell="A3" activePane="bottomLeft" state="frozen"/>
      <selection activeCell="G14" sqref="G14"/>
      <selection pane="bottomLeft" activeCell="C4" sqref="C4"/>
    </sheetView>
  </sheetViews>
  <sheetFormatPr defaultColWidth="9" defaultRowHeight="12" outlineLevelRow="1" x14ac:dyDescent="0.25"/>
  <cols>
    <col min="1" max="1" width="4.8984375" style="38" customWidth="1"/>
    <col min="2" max="2" width="37.19921875" style="22" bestFit="1" customWidth="1"/>
    <col min="3" max="3" width="5.69921875" style="21" customWidth="1"/>
    <col min="4" max="4" width="23.59765625" style="22" customWidth="1"/>
    <col min="5" max="5" width="25.8984375" style="23" customWidth="1"/>
    <col min="6" max="6" width="10.19921875" style="20" customWidth="1"/>
    <col min="7" max="7" width="18.59765625" style="24" customWidth="1"/>
    <col min="8" max="8" width="7.5" style="20" customWidth="1"/>
    <col min="9" max="9" width="9.5" style="20" customWidth="1"/>
    <col min="10" max="10" width="32.5" style="20" customWidth="1"/>
    <col min="11" max="16384" width="9" style="20"/>
  </cols>
  <sheetData>
    <row r="1" spans="1:7" ht="24" customHeight="1" x14ac:dyDescent="0.25">
      <c r="A1" s="89" t="s">
        <v>0</v>
      </c>
      <c r="B1" s="89"/>
      <c r="C1" s="89"/>
      <c r="D1" s="89"/>
      <c r="E1" s="90"/>
      <c r="F1" s="89"/>
      <c r="G1" s="89"/>
    </row>
    <row r="2" spans="1:7" ht="21" customHeight="1" x14ac:dyDescent="0.25">
      <c r="A2" s="35" t="s">
        <v>1</v>
      </c>
      <c r="B2" s="25" t="s">
        <v>2</v>
      </c>
      <c r="C2" s="25" t="s">
        <v>3</v>
      </c>
      <c r="D2" s="25" t="s">
        <v>4</v>
      </c>
      <c r="E2" s="26" t="s">
        <v>5</v>
      </c>
      <c r="F2" s="26" t="s">
        <v>6</v>
      </c>
      <c r="G2" s="26" t="s">
        <v>7</v>
      </c>
    </row>
    <row r="3" spans="1:7" ht="20.399999999999999" x14ac:dyDescent="0.25">
      <c r="A3" s="91" t="s">
        <v>8</v>
      </c>
      <c r="B3" s="91"/>
      <c r="C3" s="91"/>
      <c r="D3" s="91"/>
      <c r="E3" s="91"/>
      <c r="F3" s="91"/>
      <c r="G3" s="92"/>
    </row>
    <row r="4" spans="1:7" ht="15" outlineLevel="1" x14ac:dyDescent="0.25">
      <c r="A4" s="36">
        <v>1</v>
      </c>
      <c r="B4" s="32" t="s">
        <v>100</v>
      </c>
      <c r="C4" s="33" t="str">
        <f t="shared" ref="C4:C12" si="0">IF(B4&lt;&gt;"",HYPERLINK("#"&amp;B4&amp;"!A1","链接"),"")</f>
        <v>链接</v>
      </c>
      <c r="D4" s="30" t="s">
        <v>110</v>
      </c>
      <c r="E4" s="31" t="s">
        <v>120</v>
      </c>
      <c r="F4" s="18"/>
      <c r="G4" s="32"/>
    </row>
    <row r="5" spans="1:7" ht="15" outlineLevel="1" x14ac:dyDescent="0.25">
      <c r="A5" s="36">
        <v>2</v>
      </c>
      <c r="B5" s="32" t="s">
        <v>101</v>
      </c>
      <c r="C5" s="33" t="str">
        <f t="shared" si="0"/>
        <v>链接</v>
      </c>
      <c r="D5" s="30" t="s">
        <v>111</v>
      </c>
      <c r="E5" s="31" t="s">
        <v>119</v>
      </c>
      <c r="F5" s="18"/>
      <c r="G5" s="32"/>
    </row>
    <row r="6" spans="1:7" ht="15" outlineLevel="1" x14ac:dyDescent="0.25">
      <c r="A6" s="36">
        <v>3</v>
      </c>
      <c r="B6" s="32" t="s">
        <v>102</v>
      </c>
      <c r="C6" s="33" t="str">
        <f t="shared" si="0"/>
        <v>链接</v>
      </c>
      <c r="D6" s="31" t="s">
        <v>112</v>
      </c>
      <c r="E6" s="31" t="s">
        <v>119</v>
      </c>
      <c r="F6" s="18"/>
      <c r="G6" s="32"/>
    </row>
    <row r="7" spans="1:7" ht="15" outlineLevel="1" x14ac:dyDescent="0.25">
      <c r="A7" s="36">
        <v>4</v>
      </c>
      <c r="B7" s="32" t="s">
        <v>103</v>
      </c>
      <c r="C7" s="33" t="str">
        <f t="shared" si="0"/>
        <v>链接</v>
      </c>
      <c r="D7" s="30" t="s">
        <v>113</v>
      </c>
      <c r="E7" s="31" t="s">
        <v>119</v>
      </c>
      <c r="F7" s="18"/>
      <c r="G7" s="32"/>
    </row>
    <row r="8" spans="1:7" ht="15" outlineLevel="1" x14ac:dyDescent="0.25">
      <c r="A8" s="36">
        <v>5</v>
      </c>
      <c r="B8" s="32" t="s">
        <v>104</v>
      </c>
      <c r="C8" s="33" t="str">
        <f t="shared" si="0"/>
        <v>链接</v>
      </c>
      <c r="D8" s="30" t="s">
        <v>114</v>
      </c>
      <c r="E8" s="31" t="s">
        <v>119</v>
      </c>
      <c r="F8" s="18"/>
      <c r="G8" s="32"/>
    </row>
    <row r="9" spans="1:7" ht="15" outlineLevel="1" x14ac:dyDescent="0.25">
      <c r="A9" s="36">
        <v>6</v>
      </c>
      <c r="B9" s="32" t="s">
        <v>105</v>
      </c>
      <c r="C9" s="33" t="str">
        <f t="shared" si="0"/>
        <v>链接</v>
      </c>
      <c r="D9" s="30" t="s">
        <v>115</v>
      </c>
      <c r="E9" s="31" t="s">
        <v>119</v>
      </c>
      <c r="F9" s="18"/>
      <c r="G9" s="32"/>
    </row>
    <row r="10" spans="1:7" ht="15" outlineLevel="1" x14ac:dyDescent="0.25">
      <c r="A10" s="36">
        <v>7</v>
      </c>
      <c r="B10" s="32" t="s">
        <v>106</v>
      </c>
      <c r="C10" s="33" t="str">
        <f t="shared" si="0"/>
        <v>链接</v>
      </c>
      <c r="D10" s="18" t="s">
        <v>116</v>
      </c>
      <c r="E10" s="31" t="s">
        <v>119</v>
      </c>
      <c r="F10" s="18"/>
      <c r="G10" s="32"/>
    </row>
    <row r="11" spans="1:7" ht="15" outlineLevel="1" x14ac:dyDescent="0.25">
      <c r="A11" s="36">
        <v>8</v>
      </c>
      <c r="B11" s="32" t="s">
        <v>107</v>
      </c>
      <c r="C11" s="33" t="str">
        <f t="shared" si="0"/>
        <v>链接</v>
      </c>
      <c r="D11" s="30" t="s">
        <v>117</v>
      </c>
      <c r="E11" s="31" t="s">
        <v>119</v>
      </c>
      <c r="F11" s="18"/>
      <c r="G11" s="32"/>
    </row>
    <row r="12" spans="1:7" ht="15" outlineLevel="1" x14ac:dyDescent="0.25">
      <c r="A12" s="36">
        <v>9</v>
      </c>
      <c r="B12" s="32" t="s">
        <v>108</v>
      </c>
      <c r="C12" s="33" t="str">
        <f t="shared" si="0"/>
        <v>链接</v>
      </c>
      <c r="D12" s="30" t="s">
        <v>118</v>
      </c>
      <c r="E12" s="31" t="s">
        <v>119</v>
      </c>
      <c r="F12" s="18"/>
      <c r="G12" s="32"/>
    </row>
    <row r="13" spans="1:7" x14ac:dyDescent="0.25">
      <c r="A13" s="37"/>
      <c r="B13" s="18"/>
      <c r="C13" s="28"/>
      <c r="D13" s="18"/>
      <c r="E13" s="27"/>
      <c r="F13" s="18"/>
      <c r="G13" s="28"/>
    </row>
    <row r="14" spans="1:7" x14ac:dyDescent="0.25">
      <c r="A14" s="37"/>
      <c r="B14" s="18"/>
      <c r="C14" s="28"/>
      <c r="D14" s="18"/>
      <c r="E14" s="27"/>
      <c r="F14" s="18"/>
      <c r="G14" s="28"/>
    </row>
    <row r="15" spans="1:7" x14ac:dyDescent="0.25">
      <c r="A15" s="37"/>
      <c r="B15" s="18"/>
      <c r="C15" s="28"/>
      <c r="D15" s="18"/>
      <c r="E15" s="27"/>
      <c r="F15" s="18"/>
      <c r="G15" s="28"/>
    </row>
    <row r="16" spans="1:7" x14ac:dyDescent="0.25">
      <c r="A16" s="37"/>
      <c r="B16" s="18"/>
      <c r="C16" s="28"/>
      <c r="D16" s="18"/>
      <c r="E16" s="27"/>
      <c r="F16" s="18"/>
      <c r="G16" s="28"/>
    </row>
    <row r="17" spans="1:7" x14ac:dyDescent="0.25">
      <c r="A17" s="37"/>
      <c r="B17" s="18"/>
      <c r="C17" s="28"/>
      <c r="D17" s="18"/>
      <c r="E17" s="27"/>
      <c r="F17" s="18"/>
      <c r="G17" s="28"/>
    </row>
    <row r="18" spans="1:7" x14ac:dyDescent="0.25">
      <c r="A18" s="37"/>
      <c r="B18" s="18"/>
      <c r="C18" s="28"/>
      <c r="D18" s="18"/>
      <c r="E18" s="27"/>
      <c r="F18" s="18"/>
      <c r="G18" s="28"/>
    </row>
    <row r="19" spans="1:7" x14ac:dyDescent="0.25">
      <c r="A19" s="37"/>
      <c r="B19" s="18"/>
      <c r="C19" s="28"/>
      <c r="D19" s="18"/>
      <c r="E19" s="27"/>
      <c r="F19" s="18"/>
      <c r="G19" s="28"/>
    </row>
    <row r="20" spans="1:7" x14ac:dyDescent="0.25">
      <c r="A20" s="37"/>
      <c r="B20" s="18"/>
      <c r="C20" s="28"/>
      <c r="D20" s="18"/>
      <c r="E20" s="27"/>
      <c r="F20" s="18"/>
      <c r="G20" s="28"/>
    </row>
    <row r="21" spans="1:7" x14ac:dyDescent="0.25">
      <c r="A21" s="37"/>
      <c r="B21" s="18"/>
      <c r="C21" s="28"/>
      <c r="D21" s="18"/>
      <c r="E21" s="27"/>
      <c r="F21" s="18"/>
      <c r="G21" s="28"/>
    </row>
    <row r="22" spans="1:7" x14ac:dyDescent="0.25">
      <c r="A22" s="37"/>
      <c r="B22" s="18"/>
      <c r="C22" s="28"/>
      <c r="D22" s="18"/>
      <c r="E22" s="27"/>
      <c r="F22" s="18"/>
      <c r="G22" s="28"/>
    </row>
    <row r="23" spans="1:7" x14ac:dyDescent="0.25">
      <c r="A23" s="37"/>
      <c r="B23" s="18"/>
      <c r="C23" s="28"/>
      <c r="D23" s="18"/>
      <c r="E23" s="27"/>
      <c r="F23" s="18"/>
      <c r="G23" s="28"/>
    </row>
    <row r="24" spans="1:7" x14ac:dyDescent="0.25">
      <c r="A24" s="37"/>
      <c r="B24" s="18"/>
      <c r="C24" s="28"/>
      <c r="D24" s="18"/>
      <c r="E24" s="27"/>
      <c r="F24" s="18"/>
      <c r="G24" s="28"/>
    </row>
    <row r="25" spans="1:7" x14ac:dyDescent="0.25">
      <c r="A25" s="37"/>
      <c r="B25" s="18"/>
      <c r="C25" s="28"/>
      <c r="D25" s="18"/>
      <c r="E25" s="27"/>
      <c r="F25" s="18"/>
      <c r="G25" s="28"/>
    </row>
  </sheetData>
  <mergeCells count="2">
    <mergeCell ref="A1:G1"/>
    <mergeCell ref="A3:G3"/>
  </mergeCells>
  <phoneticPr fontId="12" type="noConversion"/>
  <conditionalFormatting sqref="G4:G12">
    <cfRule type="duplicateValues" dxfId="4" priority="2"/>
  </conditionalFormatting>
  <conditionalFormatting sqref="B13:B1048576 B1">
    <cfRule type="duplicateValues" dxfId="3" priority="93"/>
    <cfRule type="duplicateValues" dxfId="2" priority="94"/>
  </conditionalFormatting>
  <conditionalFormatting sqref="B2">
    <cfRule type="duplicateValues" dxfId="1" priority="108"/>
  </conditionalFormatting>
  <conditionalFormatting sqref="B4:B12">
    <cfRule type="duplicateValues" dxfId="0" priority="1"/>
  </conditionalFormatting>
  <pageMargins left="0.75" right="0.75" top="1" bottom="1" header="0.51041666666666696" footer="0.5104166666666669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ComboBox1">
          <controlPr defaultSize="0" altText="" r:id="rId5">
            <anchor moveWithCells="1">
              <from>
                <xdr:col>9</xdr:col>
                <xdr:colOff>419100</xdr:colOff>
                <xdr:row>2</xdr:row>
                <xdr:rowOff>0</xdr:rowOff>
              </from>
              <to>
                <xdr:col>9</xdr:col>
                <xdr:colOff>1249680</xdr:colOff>
                <xdr:row>2</xdr:row>
                <xdr:rowOff>236220</xdr:rowOff>
              </to>
            </anchor>
          </controlPr>
        </control>
      </mc:Choice>
      <mc:Fallback>
        <control shapeId="1047" r:id="rId4" name="ComboBox1"/>
      </mc:Fallback>
    </mc:AlternateContent>
    <mc:AlternateContent xmlns:mc="http://schemas.openxmlformats.org/markup-compatibility/2006">
      <mc:Choice Requires="x14">
        <control shapeId="1046" r:id="rId6" name="typeLength">
          <controlPr defaultSize="0" altText="" r:id="rId7">
            <anchor moveWithCells="1">
              <from>
                <xdr:col>9</xdr:col>
                <xdr:colOff>1394460</xdr:colOff>
                <xdr:row>2</xdr:row>
                <xdr:rowOff>0</xdr:rowOff>
              </from>
              <to>
                <xdr:col>9</xdr:col>
                <xdr:colOff>1783080</xdr:colOff>
                <xdr:row>2</xdr:row>
                <xdr:rowOff>228600</xdr:rowOff>
              </to>
            </anchor>
          </controlPr>
        </control>
      </mc:Choice>
      <mc:Fallback>
        <control shapeId="1046" r:id="rId6" name="typeLength"/>
      </mc:Fallback>
    </mc:AlternateContent>
    <mc:AlternateContent xmlns:mc="http://schemas.openxmlformats.org/markup-compatibility/2006">
      <mc:Choice Requires="x14">
        <control shapeId="1045" r:id="rId8" name="Label5">
          <controlPr defaultSize="0" altText="" r:id="rId9">
            <anchor moveWithCells="1">
              <from>
                <xdr:col>9</xdr:col>
                <xdr:colOff>1295400</xdr:colOff>
                <xdr:row>2</xdr:row>
                <xdr:rowOff>0</xdr:rowOff>
              </from>
              <to>
                <xdr:col>9</xdr:col>
                <xdr:colOff>1371600</xdr:colOff>
                <xdr:row>2</xdr:row>
                <xdr:rowOff>167640</xdr:rowOff>
              </to>
            </anchor>
          </controlPr>
        </control>
      </mc:Choice>
      <mc:Fallback>
        <control shapeId="1045" r:id="rId8" name="Label5"/>
      </mc:Fallback>
    </mc:AlternateContent>
    <mc:AlternateContent xmlns:mc="http://schemas.openxmlformats.org/markup-compatibility/2006">
      <mc:Choice Requires="x14">
        <control shapeId="1044" r:id="rId10" name="CommandButton1">
          <controlPr defaultSize="0" altText="" r:id="rId11">
            <anchor moveWithCells="1">
              <from>
                <xdr:col>9</xdr:col>
                <xdr:colOff>1927860</xdr:colOff>
                <xdr:row>2</xdr:row>
                <xdr:rowOff>0</xdr:rowOff>
              </from>
              <to>
                <xdr:col>10</xdr:col>
                <xdr:colOff>144780</xdr:colOff>
                <xdr:row>3</xdr:row>
                <xdr:rowOff>15240</xdr:rowOff>
              </to>
            </anchor>
          </controlPr>
        </control>
      </mc:Choice>
      <mc:Fallback>
        <control shapeId="1044" r:id="rId10" name="CommandButton1"/>
      </mc:Fallback>
    </mc:AlternateContent>
    <mc:AlternateContent xmlns:mc="http://schemas.openxmlformats.org/markup-compatibility/2006">
      <mc:Choice Requires="x14">
        <control shapeId="1043" r:id="rId12" name="Label4">
          <controlPr defaultSize="0" altText="" r:id="rId13">
            <anchor moveWithCells="1">
              <from>
                <xdr:col>7</xdr:col>
                <xdr:colOff>457200</xdr:colOff>
                <xdr:row>2</xdr:row>
                <xdr:rowOff>0</xdr:rowOff>
              </from>
              <to>
                <xdr:col>9</xdr:col>
                <xdr:colOff>495300</xdr:colOff>
                <xdr:row>2</xdr:row>
                <xdr:rowOff>220980</xdr:rowOff>
              </to>
            </anchor>
          </controlPr>
        </control>
      </mc:Choice>
      <mc:Fallback>
        <control shapeId="1043" r:id="rId12" name="Label4"/>
      </mc:Fallback>
    </mc:AlternateContent>
    <mc:AlternateContent xmlns:mc="http://schemas.openxmlformats.org/markup-compatibility/2006">
      <mc:Choice Requires="x14">
        <control shapeId="1042" r:id="rId14" name="field2">
          <controlPr defaultSize="0" altText="" r:id="rId15">
            <anchor moveWithCells="1">
              <from>
                <xdr:col>9</xdr:col>
                <xdr:colOff>411480</xdr:colOff>
                <xdr:row>1</xdr:row>
                <xdr:rowOff>236220</xdr:rowOff>
              </from>
              <to>
                <xdr:col>9</xdr:col>
                <xdr:colOff>1363980</xdr:colOff>
                <xdr:row>2</xdr:row>
                <xdr:rowOff>190500</xdr:rowOff>
              </to>
            </anchor>
          </controlPr>
        </control>
      </mc:Choice>
      <mc:Fallback>
        <control shapeId="1042" r:id="rId14" name="field2"/>
      </mc:Fallback>
    </mc:AlternateContent>
    <mc:AlternateContent xmlns:mc="http://schemas.openxmlformats.org/markup-compatibility/2006">
      <mc:Choice Requires="x14">
        <control shapeId="1041" r:id="rId16" name="Label3">
          <controlPr defaultSize="0" altText="" r:id="rId17">
            <anchor moveWithCells="1">
              <from>
                <xdr:col>7</xdr:col>
                <xdr:colOff>525780</xdr:colOff>
                <xdr:row>2</xdr:row>
                <xdr:rowOff>0</xdr:rowOff>
              </from>
              <to>
                <xdr:col>9</xdr:col>
                <xdr:colOff>502920</xdr:colOff>
                <xdr:row>2</xdr:row>
                <xdr:rowOff>220980</xdr:rowOff>
              </to>
            </anchor>
          </controlPr>
        </control>
      </mc:Choice>
      <mc:Fallback>
        <control shapeId="1041" r:id="rId16" name="Label3"/>
      </mc:Fallback>
    </mc:AlternateContent>
    <mc:AlternateContent xmlns:mc="http://schemas.openxmlformats.org/markup-compatibility/2006">
      <mc:Choice Requires="x14">
        <control shapeId="1033" r:id="rId18" name="field1">
          <controlPr defaultSize="0" altText="" r:id="rId19">
            <anchor moveWithCells="1">
              <from>
                <xdr:col>9</xdr:col>
                <xdr:colOff>419100</xdr:colOff>
                <xdr:row>1</xdr:row>
                <xdr:rowOff>0</xdr:rowOff>
              </from>
              <to>
                <xdr:col>9</xdr:col>
                <xdr:colOff>1363980</xdr:colOff>
                <xdr:row>1</xdr:row>
                <xdr:rowOff>205740</xdr:rowOff>
              </to>
            </anchor>
          </controlPr>
        </control>
      </mc:Choice>
      <mc:Fallback>
        <control shapeId="1033" r:id="rId18" name="field1"/>
      </mc:Fallback>
    </mc:AlternateContent>
    <mc:AlternateContent xmlns:mc="http://schemas.openxmlformats.org/markup-compatibility/2006">
      <mc:Choice Requires="x14">
        <control shapeId="1032" r:id="rId20" name="Label2">
          <controlPr defaultSize="0" altText="" r:id="rId21">
            <anchor moveWithCells="1">
              <from>
                <xdr:col>7</xdr:col>
                <xdr:colOff>541020</xdr:colOff>
                <xdr:row>1</xdr:row>
                <xdr:rowOff>22860</xdr:rowOff>
              </from>
              <to>
                <xdr:col>9</xdr:col>
                <xdr:colOff>487680</xdr:colOff>
                <xdr:row>1</xdr:row>
                <xdr:rowOff>259080</xdr:rowOff>
              </to>
            </anchor>
          </controlPr>
        </control>
      </mc:Choice>
      <mc:Fallback>
        <control shapeId="1032" r:id="rId20" name="Label2"/>
      </mc:Fallback>
    </mc:AlternateContent>
    <mc:AlternateContent xmlns:mc="http://schemas.openxmlformats.org/markup-compatibility/2006">
      <mc:Choice Requires="x14">
        <control shapeId="1030" r:id="rId22" name="btnUpdate">
          <controlPr defaultSize="0" altText="" r:id="rId23">
            <anchor moveWithCells="1">
              <from>
                <xdr:col>9</xdr:col>
                <xdr:colOff>1135380</xdr:colOff>
                <xdr:row>0</xdr:row>
                <xdr:rowOff>22860</xdr:rowOff>
              </from>
              <to>
                <xdr:col>10</xdr:col>
                <xdr:colOff>106680</xdr:colOff>
                <xdr:row>0</xdr:row>
                <xdr:rowOff>297180</xdr:rowOff>
              </to>
            </anchor>
          </controlPr>
        </control>
      </mc:Choice>
      <mc:Fallback>
        <control shapeId="1030" r:id="rId22" name="btnUpdate"/>
      </mc:Fallback>
    </mc:AlternateContent>
    <mc:AlternateContent xmlns:mc="http://schemas.openxmlformats.org/markup-compatibility/2006">
      <mc:Choice Requires="x14">
        <control shapeId="1029" r:id="rId24" name="TextBox1">
          <controlPr defaultSize="0" altText="" r:id="rId25">
            <anchor moveWithCells="1">
              <from>
                <xdr:col>8</xdr:col>
                <xdr:colOff>541020</xdr:colOff>
                <xdr:row>0</xdr:row>
                <xdr:rowOff>30480</xdr:rowOff>
              </from>
              <to>
                <xdr:col>9</xdr:col>
                <xdr:colOff>198120</xdr:colOff>
                <xdr:row>0</xdr:row>
                <xdr:rowOff>281940</xdr:rowOff>
              </to>
            </anchor>
          </controlPr>
        </control>
      </mc:Choice>
      <mc:Fallback>
        <control shapeId="1029" r:id="rId24" name="TextBox1"/>
      </mc:Fallback>
    </mc:AlternateContent>
    <mc:AlternateContent xmlns:mc="http://schemas.openxmlformats.org/markup-compatibility/2006">
      <mc:Choice Requires="x14">
        <control shapeId="1026" r:id="rId26" name="Label1">
          <controlPr defaultSize="0" altText="" r:id="rId27">
            <anchor moveWithCells="1">
              <from>
                <xdr:col>7</xdr:col>
                <xdr:colOff>563880</xdr:colOff>
                <xdr:row>0</xdr:row>
                <xdr:rowOff>68580</xdr:rowOff>
              </from>
              <to>
                <xdr:col>8</xdr:col>
                <xdr:colOff>449580</xdr:colOff>
                <xdr:row>0</xdr:row>
                <xdr:rowOff>259080</xdr:rowOff>
              </to>
            </anchor>
          </controlPr>
        </control>
      </mc:Choice>
      <mc:Fallback>
        <control shapeId="1026" r:id="rId26" name="Label1"/>
      </mc:Fallback>
    </mc:AlternateContent>
    <mc:AlternateContent xmlns:mc="http://schemas.openxmlformats.org/markup-compatibility/2006">
      <mc:Choice Requires="x14">
        <control shapeId="1025" r:id="rId28" name="btnCreate">
          <controlPr defaultSize="0" altText="" r:id="rId29">
            <anchor moveWithCells="1">
              <from>
                <xdr:col>9</xdr:col>
                <xdr:colOff>335280</xdr:colOff>
                <xdr:row>0</xdr:row>
                <xdr:rowOff>22860</xdr:rowOff>
              </from>
              <to>
                <xdr:col>9</xdr:col>
                <xdr:colOff>1013460</xdr:colOff>
                <xdr:row>0</xdr:row>
                <xdr:rowOff>289560</xdr:rowOff>
              </to>
            </anchor>
          </controlPr>
        </control>
      </mc:Choice>
      <mc:Fallback>
        <control shapeId="1025" r:id="rId28" name="btnCre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9"/>
  <sheetViews>
    <sheetView workbookViewId="0">
      <selection activeCell="E11" sqref="E11"/>
    </sheetView>
  </sheetViews>
  <sheetFormatPr defaultColWidth="9" defaultRowHeight="15.6" x14ac:dyDescent="0.25"/>
  <cols>
    <col min="1" max="1" width="14" customWidth="1"/>
    <col min="2" max="2" width="25" customWidth="1"/>
    <col min="3" max="3" width="10.8984375" customWidth="1"/>
    <col min="4" max="4" width="8.3984375" style="46" customWidth="1"/>
    <col min="5" max="5" width="9.8984375" style="46" customWidth="1"/>
    <col min="6" max="6" width="9.3984375" style="46" customWidth="1"/>
    <col min="7" max="7" width="5.5" style="46" customWidth="1"/>
    <col min="8" max="8" width="19.3984375" customWidth="1"/>
    <col min="9" max="9" width="47" customWidth="1"/>
  </cols>
  <sheetData>
    <row r="1" spans="1:9" ht="30.9" customHeight="1" x14ac:dyDescent="0.25">
      <c r="A1" s="1" t="s">
        <v>9</v>
      </c>
      <c r="B1" s="2"/>
      <c r="C1" s="2"/>
      <c r="D1" s="39"/>
      <c r="E1" s="39"/>
      <c r="F1" s="39"/>
      <c r="G1" s="39"/>
      <c r="H1" s="2"/>
      <c r="I1" s="2"/>
    </row>
    <row r="2" spans="1:9" x14ac:dyDescent="0.25">
      <c r="A2" s="3" t="s">
        <v>10</v>
      </c>
      <c r="B2" s="93"/>
      <c r="C2" s="93"/>
      <c r="D2" s="40"/>
      <c r="E2" s="67" t="s">
        <v>11</v>
      </c>
      <c r="F2" s="94"/>
      <c r="G2" s="94"/>
      <c r="H2" s="94"/>
      <c r="I2" s="94"/>
    </row>
    <row r="3" spans="1:9" ht="24.6" thickBot="1" x14ac:dyDescent="0.3">
      <c r="A3" s="4" t="s">
        <v>12</v>
      </c>
      <c r="B3" s="4" t="s">
        <v>13</v>
      </c>
      <c r="C3" s="4" t="s">
        <v>14</v>
      </c>
      <c r="D3" s="41" t="s">
        <v>15</v>
      </c>
      <c r="E3" s="41" t="s">
        <v>16</v>
      </c>
      <c r="F3" s="41" t="s">
        <v>17</v>
      </c>
      <c r="G3" s="41" t="s">
        <v>18</v>
      </c>
      <c r="H3" s="4" t="s">
        <v>19</v>
      </c>
      <c r="I3" s="4" t="s">
        <v>5</v>
      </c>
    </row>
    <row r="4" spans="1:9" ht="16.2" thickBot="1" x14ac:dyDescent="0.3">
      <c r="A4" s="6"/>
      <c r="B4" s="47" t="s">
        <v>122</v>
      </c>
      <c r="C4" s="6"/>
      <c r="D4" s="42"/>
      <c r="E4" s="42" t="s">
        <v>20</v>
      </c>
      <c r="F4" s="42" t="s">
        <v>21</v>
      </c>
      <c r="G4" s="42"/>
      <c r="H4" s="6"/>
      <c r="I4" s="6" t="s">
        <v>22</v>
      </c>
    </row>
    <row r="5" spans="1:9" ht="16.2" thickBot="1" x14ac:dyDescent="0.3">
      <c r="A5" s="5"/>
      <c r="B5" s="48" t="s">
        <v>123</v>
      </c>
      <c r="C5" s="6"/>
      <c r="D5" s="43"/>
      <c r="E5" s="42"/>
      <c r="F5" s="42"/>
      <c r="G5" s="42"/>
      <c r="H5" s="6"/>
      <c r="I5" s="5"/>
    </row>
    <row r="6" spans="1:9" ht="16.2" thickBot="1" x14ac:dyDescent="0.3">
      <c r="A6" s="5"/>
      <c r="B6" s="48" t="s">
        <v>124</v>
      </c>
      <c r="C6" s="6" t="s">
        <v>25</v>
      </c>
      <c r="D6" s="43"/>
      <c r="E6" s="42"/>
      <c r="F6" s="42"/>
      <c r="G6" s="42"/>
      <c r="H6" s="6"/>
      <c r="I6" s="5"/>
    </row>
    <row r="7" spans="1:9" ht="16.2" thickBot="1" x14ac:dyDescent="0.3">
      <c r="A7" s="5"/>
      <c r="B7" s="48" t="s">
        <v>125</v>
      </c>
      <c r="C7" s="6"/>
      <c r="D7" s="43"/>
      <c r="E7" s="42"/>
      <c r="F7" s="42"/>
      <c r="G7" s="42"/>
      <c r="H7" s="6"/>
      <c r="I7" s="5"/>
    </row>
    <row r="8" spans="1:9" ht="16.2" thickBot="1" x14ac:dyDescent="0.3">
      <c r="A8" s="5"/>
      <c r="B8" s="48" t="s">
        <v>126</v>
      </c>
      <c r="C8" s="6"/>
      <c r="D8" s="43"/>
      <c r="E8" s="42"/>
      <c r="F8" s="42"/>
      <c r="G8" s="42"/>
      <c r="H8" s="6"/>
      <c r="I8" s="5"/>
    </row>
    <row r="9" spans="1:9" ht="16.2" thickBot="1" x14ac:dyDescent="0.3">
      <c r="A9" s="5"/>
      <c r="B9" s="48" t="s">
        <v>127</v>
      </c>
      <c r="C9" s="6"/>
      <c r="D9" s="43"/>
      <c r="E9" s="42"/>
      <c r="F9" s="42"/>
      <c r="G9" s="42"/>
      <c r="H9" s="6"/>
      <c r="I9" s="5"/>
    </row>
    <row r="10" spans="1:9" ht="16.2" thickBot="1" x14ac:dyDescent="0.3">
      <c r="A10" s="5"/>
      <c r="B10" s="48" t="s">
        <v>129</v>
      </c>
      <c r="C10" s="6"/>
      <c r="D10" s="43"/>
      <c r="E10" s="42"/>
      <c r="F10" s="42"/>
      <c r="G10" s="42"/>
      <c r="H10" s="6"/>
      <c r="I10" s="5"/>
    </row>
    <row r="11" spans="1:9" ht="16.2" thickBot="1" x14ac:dyDescent="0.3">
      <c r="A11" s="5"/>
      <c r="B11" s="48" t="s">
        <v>130</v>
      </c>
      <c r="C11" s="6"/>
      <c r="D11" s="43"/>
      <c r="E11" s="42"/>
      <c r="F11" s="42"/>
      <c r="G11" s="42"/>
      <c r="H11" s="6"/>
      <c r="I11" s="5"/>
    </row>
    <row r="12" spans="1:9" ht="16.2" thickBot="1" x14ac:dyDescent="0.3">
      <c r="A12" s="5"/>
      <c r="B12" s="48" t="s">
        <v>131</v>
      </c>
      <c r="C12" s="6"/>
      <c r="D12" s="43"/>
      <c r="E12" s="42"/>
      <c r="F12" s="42"/>
      <c r="G12" s="42"/>
      <c r="H12" s="6"/>
      <c r="I12" s="5"/>
    </row>
    <row r="13" spans="1:9" ht="16.2" thickBot="1" x14ac:dyDescent="0.3">
      <c r="A13" s="5"/>
      <c r="B13" s="48" t="s">
        <v>132</v>
      </c>
      <c r="C13" s="6"/>
      <c r="D13" s="43"/>
      <c r="E13" s="42"/>
      <c r="F13" s="42"/>
      <c r="G13" s="42"/>
      <c r="H13" s="6"/>
      <c r="I13" s="5"/>
    </row>
    <row r="14" spans="1:9" ht="16.2" thickBot="1" x14ac:dyDescent="0.3">
      <c r="A14" s="5"/>
      <c r="B14" s="48" t="s">
        <v>133</v>
      </c>
      <c r="C14" s="6"/>
      <c r="D14" s="43"/>
      <c r="E14" s="42"/>
      <c r="F14" s="42"/>
      <c r="G14" s="42"/>
      <c r="H14" s="6"/>
      <c r="I14" s="5"/>
    </row>
    <row r="15" spans="1:9" ht="16.2" thickBot="1" x14ac:dyDescent="0.3">
      <c r="A15" s="5"/>
      <c r="B15" s="48" t="s">
        <v>134</v>
      </c>
      <c r="C15" s="6"/>
      <c r="D15" s="43"/>
      <c r="E15" s="42"/>
      <c r="F15" s="42"/>
      <c r="G15" s="42"/>
      <c r="H15" s="6"/>
      <c r="I15" s="5"/>
    </row>
    <row r="16" spans="1:9" ht="16.2" thickBot="1" x14ac:dyDescent="0.3">
      <c r="A16" s="5"/>
      <c r="B16" s="48" t="s">
        <v>135</v>
      </c>
      <c r="C16" s="6"/>
      <c r="D16" s="43"/>
      <c r="E16" s="42"/>
      <c r="F16" s="42"/>
      <c r="G16" s="42"/>
      <c r="H16" s="6"/>
      <c r="I16" s="5"/>
    </row>
    <row r="17" spans="1:9" ht="16.2" thickBot="1" x14ac:dyDescent="0.3">
      <c r="A17" s="5"/>
      <c r="B17" s="48" t="s">
        <v>136</v>
      </c>
      <c r="C17" s="6"/>
      <c r="D17" s="43"/>
      <c r="E17" s="42"/>
      <c r="F17" s="42"/>
      <c r="G17" s="42"/>
      <c r="H17" s="6"/>
      <c r="I17" s="5"/>
    </row>
    <row r="18" spans="1:9" x14ac:dyDescent="0.25">
      <c r="A18" s="5"/>
      <c r="B18" s="5"/>
      <c r="C18" s="6"/>
      <c r="D18" s="43"/>
      <c r="E18" s="42"/>
      <c r="F18" s="42"/>
      <c r="G18" s="42"/>
      <c r="H18" s="6"/>
      <c r="I18" s="5"/>
    </row>
    <row r="19" spans="1:9" x14ac:dyDescent="0.25">
      <c r="A19" s="5"/>
      <c r="B19" s="5"/>
      <c r="C19" s="6"/>
      <c r="D19" s="43"/>
      <c r="E19" s="42"/>
      <c r="F19" s="42"/>
      <c r="G19" s="42"/>
      <c r="H19" s="6"/>
      <c r="I19" s="5"/>
    </row>
    <row r="20" spans="1:9" x14ac:dyDescent="0.25">
      <c r="A20" s="5"/>
      <c r="B20" s="5"/>
      <c r="C20" s="6"/>
      <c r="D20" s="43"/>
      <c r="E20" s="42"/>
      <c r="F20" s="42"/>
      <c r="G20" s="42"/>
      <c r="H20" s="6"/>
      <c r="I20" s="5"/>
    </row>
    <row r="21" spans="1:9" x14ac:dyDescent="0.25">
      <c r="A21" s="5"/>
      <c r="B21" s="5"/>
      <c r="C21" s="6"/>
      <c r="D21" s="43"/>
      <c r="E21" s="42"/>
      <c r="F21" s="42"/>
      <c r="G21" s="42"/>
      <c r="H21" s="6"/>
      <c r="I21" s="5"/>
    </row>
    <row r="22" spans="1:9" x14ac:dyDescent="0.25">
      <c r="A22" s="5"/>
      <c r="B22" s="5"/>
      <c r="C22" s="6"/>
      <c r="D22" s="43"/>
      <c r="E22" s="42"/>
      <c r="F22" s="42"/>
      <c r="G22" s="42"/>
      <c r="H22" s="6"/>
      <c r="I22" s="5"/>
    </row>
    <row r="23" spans="1:9" x14ac:dyDescent="0.25">
      <c r="A23" s="5"/>
      <c r="B23" s="5"/>
      <c r="C23" s="6"/>
      <c r="D23" s="43"/>
      <c r="E23" s="42"/>
      <c r="F23" s="42"/>
      <c r="G23" s="42"/>
      <c r="H23" s="6"/>
      <c r="I23" s="5"/>
    </row>
    <row r="24" spans="1:9" x14ac:dyDescent="0.25">
      <c r="A24" s="5"/>
      <c r="B24" s="5"/>
      <c r="C24" s="6"/>
      <c r="D24" s="43"/>
      <c r="E24" s="42"/>
      <c r="F24" s="42"/>
      <c r="G24" s="42"/>
      <c r="H24" s="6"/>
      <c r="I24" s="5"/>
    </row>
    <row r="25" spans="1:9" x14ac:dyDescent="0.25">
      <c r="A25" s="5"/>
      <c r="B25" s="5"/>
      <c r="C25" s="6"/>
      <c r="D25" s="43"/>
      <c r="E25" s="42"/>
      <c r="F25" s="42"/>
      <c r="G25" s="42"/>
      <c r="H25" s="6"/>
      <c r="I25" s="5"/>
    </row>
    <row r="26" spans="1:9" x14ac:dyDescent="0.25">
      <c r="A26" s="5"/>
      <c r="B26" s="5"/>
      <c r="C26" s="6"/>
      <c r="D26" s="43"/>
      <c r="E26" s="42"/>
      <c r="F26" s="42"/>
      <c r="G26" s="42"/>
      <c r="H26" s="6"/>
      <c r="I26" s="5"/>
    </row>
    <row r="27" spans="1:9" x14ac:dyDescent="0.25">
      <c r="A27" s="7" t="s">
        <v>23</v>
      </c>
      <c r="B27" s="7" t="s">
        <v>24</v>
      </c>
      <c r="C27" s="7" t="s">
        <v>25</v>
      </c>
      <c r="D27" s="44">
        <v>1</v>
      </c>
      <c r="E27" s="68"/>
      <c r="F27" s="44"/>
      <c r="G27" s="57">
        <v>0</v>
      </c>
      <c r="H27" s="15"/>
      <c r="I27" s="14" t="s">
        <v>26</v>
      </c>
    </row>
    <row r="28" spans="1:9" x14ac:dyDescent="0.25">
      <c r="A28" s="7" t="s">
        <v>27</v>
      </c>
      <c r="B28" s="7" t="s">
        <v>28</v>
      </c>
      <c r="C28" s="7" t="s">
        <v>25</v>
      </c>
      <c r="D28" s="44">
        <v>1</v>
      </c>
      <c r="E28" s="68"/>
      <c r="F28" s="44"/>
      <c r="G28" s="57">
        <v>0</v>
      </c>
      <c r="H28" s="15"/>
      <c r="I28" s="14" t="s">
        <v>29</v>
      </c>
    </row>
    <row r="29" spans="1:9" x14ac:dyDescent="0.25">
      <c r="A29" s="7" t="s">
        <v>30</v>
      </c>
      <c r="B29" s="13" t="s">
        <v>31</v>
      </c>
      <c r="C29" s="14" t="s">
        <v>32</v>
      </c>
      <c r="D29" s="44"/>
      <c r="E29" s="68"/>
      <c r="F29" s="44"/>
      <c r="G29" s="57"/>
      <c r="H29" s="15"/>
      <c r="I29" s="13" t="s">
        <v>33</v>
      </c>
    </row>
    <row r="30" spans="1:9" x14ac:dyDescent="0.25">
      <c r="A30" s="14" t="s">
        <v>34</v>
      </c>
      <c r="B30" s="14" t="s">
        <v>35</v>
      </c>
      <c r="C30" s="14" t="s">
        <v>32</v>
      </c>
      <c r="D30" s="44"/>
      <c r="E30" s="68"/>
      <c r="F30" s="44"/>
      <c r="G30" s="57"/>
      <c r="H30" s="15"/>
      <c r="I30" s="14" t="s">
        <v>36</v>
      </c>
    </row>
    <row r="31" spans="1:9" ht="24" x14ac:dyDescent="0.25">
      <c r="A31" s="7" t="s">
        <v>37</v>
      </c>
      <c r="B31" s="14" t="s">
        <v>38</v>
      </c>
      <c r="C31" s="14" t="s">
        <v>25</v>
      </c>
      <c r="D31" s="44">
        <v>8</v>
      </c>
      <c r="E31" s="68"/>
      <c r="F31" s="44"/>
      <c r="G31" s="57"/>
      <c r="H31" s="15"/>
      <c r="I31" s="14" t="s">
        <v>39</v>
      </c>
    </row>
    <row r="32" spans="1:9" ht="24" x14ac:dyDescent="0.25">
      <c r="A32" s="7" t="s">
        <v>40</v>
      </c>
      <c r="B32" s="14" t="s">
        <v>41</v>
      </c>
      <c r="C32" s="14" t="s">
        <v>25</v>
      </c>
      <c r="D32" s="44">
        <v>8</v>
      </c>
      <c r="E32" s="68"/>
      <c r="F32" s="44"/>
      <c r="G32" s="57"/>
      <c r="H32" s="15"/>
      <c r="I32" s="14" t="s">
        <v>42</v>
      </c>
    </row>
    <row r="33" spans="1:9" ht="24" x14ac:dyDescent="0.25">
      <c r="A33" s="7" t="s">
        <v>43</v>
      </c>
      <c r="B33" s="14" t="s">
        <v>44</v>
      </c>
      <c r="C33" s="14" t="s">
        <v>45</v>
      </c>
      <c r="D33" s="44">
        <v>36</v>
      </c>
      <c r="E33" s="68"/>
      <c r="F33" s="44"/>
      <c r="G33" s="57"/>
      <c r="H33" s="15"/>
      <c r="I33" s="14" t="s">
        <v>46</v>
      </c>
    </row>
    <row r="34" spans="1:9" ht="24" x14ac:dyDescent="0.25">
      <c r="A34" s="7" t="s">
        <v>47</v>
      </c>
      <c r="B34" s="14" t="s">
        <v>45</v>
      </c>
      <c r="C34" s="14" t="s">
        <v>45</v>
      </c>
      <c r="D34" s="44">
        <v>36</v>
      </c>
      <c r="E34" s="68"/>
      <c r="F34" s="44"/>
      <c r="G34" s="57"/>
      <c r="H34" s="15"/>
      <c r="I34" s="14" t="s">
        <v>48</v>
      </c>
    </row>
    <row r="35" spans="1:9" x14ac:dyDescent="0.25">
      <c r="A35" s="7" t="s">
        <v>49</v>
      </c>
      <c r="B35" s="14" t="s">
        <v>50</v>
      </c>
      <c r="C35" s="14" t="s">
        <v>45</v>
      </c>
      <c r="D35" s="44">
        <v>36</v>
      </c>
      <c r="E35" s="68"/>
      <c r="F35" s="44"/>
      <c r="G35" s="57"/>
      <c r="H35" s="15"/>
      <c r="I35" s="13" t="s">
        <v>51</v>
      </c>
    </row>
    <row r="36" spans="1:9" x14ac:dyDescent="0.25">
      <c r="A36" s="7" t="s">
        <v>52</v>
      </c>
      <c r="B36" s="14" t="s">
        <v>53</v>
      </c>
      <c r="C36" s="14" t="s">
        <v>45</v>
      </c>
      <c r="D36" s="44">
        <v>36</v>
      </c>
      <c r="E36" s="68"/>
      <c r="F36" s="44"/>
      <c r="G36" s="57"/>
      <c r="H36" s="15"/>
      <c r="I36" s="13" t="s">
        <v>54</v>
      </c>
    </row>
    <row r="37" spans="1:9" ht="24" x14ac:dyDescent="0.25">
      <c r="A37" s="7" t="s">
        <v>55</v>
      </c>
      <c r="B37" s="14" t="s">
        <v>56</v>
      </c>
      <c r="C37" s="14" t="s">
        <v>45</v>
      </c>
      <c r="D37" s="44">
        <v>36</v>
      </c>
      <c r="E37" s="68"/>
      <c r="F37" s="44"/>
      <c r="G37" s="57"/>
      <c r="H37" s="15"/>
      <c r="I37" s="9" t="s">
        <v>57</v>
      </c>
    </row>
    <row r="38" spans="1:9" x14ac:dyDescent="0.25">
      <c r="A38" s="7" t="s">
        <v>5</v>
      </c>
      <c r="B38" s="8" t="s">
        <v>58</v>
      </c>
      <c r="C38" s="8" t="s">
        <v>59</v>
      </c>
      <c r="D38" s="45">
        <v>500</v>
      </c>
      <c r="E38" s="69"/>
      <c r="F38" s="45"/>
      <c r="G38" s="58"/>
      <c r="H38" s="10"/>
      <c r="I38" s="12"/>
    </row>
    <row r="39" spans="1:9" ht="87.9" customHeight="1" x14ac:dyDescent="0.25">
      <c r="A39" s="11" t="s">
        <v>60</v>
      </c>
      <c r="B39" s="95"/>
      <c r="C39" s="95"/>
      <c r="D39" s="95"/>
      <c r="E39" s="95"/>
      <c r="F39" s="95"/>
      <c r="G39" s="95"/>
      <c r="H39" s="95"/>
      <c r="I39" s="95"/>
    </row>
  </sheetData>
  <mergeCells count="3">
    <mergeCell ref="B2:C2"/>
    <mergeCell ref="F2:I2"/>
    <mergeCell ref="B39:I39"/>
  </mergeCells>
  <phoneticPr fontId="12" type="noConversion"/>
  <dataValidations count="3">
    <dataValidation type="list" allowBlank="1" showInputMessage="1" showErrorMessage="1" sqref="C28 C29 C30 C31 C32 C37 C4:C27 C33:C36">
      <formula1>"uuid,string,integer,long,double,float,boolean,date,timestamp,binary,clob,String[],Object[],byte[]"</formula1>
    </dataValidation>
    <dataValidation type="list" allowBlank="1" showInputMessage="1" showErrorMessage="1" sqref="E28 E35 E36 E4:E27 E29:E34 E37:E38">
      <formula1>"PK,UK,FK,PK|FK,FK|UK,UUK1,UUK2,UUK3,UUK4,UUK1|UUK2,UUK1|UUK2|UUK3,UUK1|UUK2|UUK3|UUK4,FK|UUK1,FK|UUK2"</formula1>
    </dataValidation>
    <dataValidation type="list" allowBlank="1" showInputMessage="1" showErrorMessage="1" sqref="F28 F29 F30 F31 F35 F36 F37 F4:F27 F32:F3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8"/>
  <sheetViews>
    <sheetView zoomScale="115" zoomScaleNormal="115" workbookViewId="0">
      <selection activeCell="B4" sqref="B4"/>
    </sheetView>
  </sheetViews>
  <sheetFormatPr defaultColWidth="9" defaultRowHeight="15.6" x14ac:dyDescent="0.25"/>
  <cols>
    <col min="1" max="1" width="14.19921875" bestFit="1" customWidth="1"/>
    <col min="2" max="2" width="21.69921875" bestFit="1" customWidth="1"/>
    <col min="3" max="3" width="10.8984375" customWidth="1"/>
    <col min="4" max="4" width="5" style="46" bestFit="1" customWidth="1"/>
    <col min="5" max="5" width="8" bestFit="1" customWidth="1"/>
    <col min="6" max="6" width="9.3984375" customWidth="1"/>
    <col min="7" max="7" width="5.5" style="46" customWidth="1"/>
    <col min="8" max="8" width="19.3984375" customWidth="1"/>
    <col min="9" max="9" width="47" customWidth="1"/>
  </cols>
  <sheetData>
    <row r="1" spans="1:9" ht="30.9" customHeight="1" x14ac:dyDescent="0.25">
      <c r="A1" s="1" t="s">
        <v>9</v>
      </c>
      <c r="B1" s="2"/>
      <c r="C1" s="2"/>
      <c r="D1" s="39"/>
      <c r="E1" s="2"/>
      <c r="F1" s="2"/>
      <c r="G1" s="39"/>
      <c r="H1" s="2"/>
      <c r="I1" s="2"/>
    </row>
    <row r="2" spans="1:9" x14ac:dyDescent="0.25">
      <c r="A2" s="29" t="s">
        <v>10</v>
      </c>
      <c r="B2" s="93" t="s">
        <v>357</v>
      </c>
      <c r="C2" s="93"/>
      <c r="D2" s="40"/>
      <c r="E2" s="29" t="s">
        <v>11</v>
      </c>
      <c r="F2" s="94" t="s">
        <v>109</v>
      </c>
      <c r="G2" s="94"/>
      <c r="H2" s="94"/>
      <c r="I2" s="94"/>
    </row>
    <row r="3" spans="1:9" ht="24" x14ac:dyDescent="0.25">
      <c r="A3" s="19" t="s">
        <v>12</v>
      </c>
      <c r="B3" s="19" t="s">
        <v>13</v>
      </c>
      <c r="C3" s="19" t="s">
        <v>14</v>
      </c>
      <c r="D3" s="41" t="s">
        <v>15</v>
      </c>
      <c r="E3" s="19" t="s">
        <v>16</v>
      </c>
      <c r="F3" s="19" t="s">
        <v>17</v>
      </c>
      <c r="G3" s="41" t="s">
        <v>18</v>
      </c>
      <c r="H3" s="19" t="s">
        <v>19</v>
      </c>
      <c r="I3" s="19" t="s">
        <v>5</v>
      </c>
    </row>
    <row r="4" spans="1:9" x14ac:dyDescent="0.25">
      <c r="A4" s="52" t="s">
        <v>252</v>
      </c>
      <c r="B4" s="52" t="s">
        <v>188</v>
      </c>
      <c r="C4" s="52" t="s">
        <v>71</v>
      </c>
      <c r="D4" s="53">
        <v>40</v>
      </c>
      <c r="E4" s="6" t="s">
        <v>121</v>
      </c>
      <c r="F4" s="6" t="s">
        <v>21</v>
      </c>
      <c r="G4" s="42"/>
      <c r="H4" s="6"/>
      <c r="I4" s="6" t="s">
        <v>22</v>
      </c>
    </row>
    <row r="5" spans="1:9" x14ac:dyDescent="0.25">
      <c r="A5" s="52" t="s">
        <v>190</v>
      </c>
      <c r="B5" s="52" t="s">
        <v>191</v>
      </c>
      <c r="C5" s="52" t="s">
        <v>192</v>
      </c>
      <c r="D5" s="53"/>
      <c r="E5" s="6"/>
      <c r="F5" s="6"/>
      <c r="G5" s="42"/>
      <c r="H5" s="6"/>
      <c r="I5" s="5"/>
    </row>
    <row r="6" spans="1:9" x14ac:dyDescent="0.25">
      <c r="A6" s="54" t="s">
        <v>193</v>
      </c>
      <c r="B6" s="52" t="s">
        <v>194</v>
      </c>
      <c r="C6" s="52" t="s">
        <v>137</v>
      </c>
      <c r="D6" s="53">
        <v>10</v>
      </c>
      <c r="E6" s="6"/>
      <c r="F6" s="6"/>
      <c r="G6" s="42"/>
      <c r="H6" s="6"/>
      <c r="I6" s="5"/>
    </row>
    <row r="7" spans="1:9" x14ac:dyDescent="0.25">
      <c r="A7" s="52" t="s">
        <v>195</v>
      </c>
      <c r="B7" s="52" t="s">
        <v>196</v>
      </c>
      <c r="C7" s="52" t="s">
        <v>137</v>
      </c>
      <c r="D7" s="53">
        <v>10</v>
      </c>
      <c r="E7" s="6"/>
      <c r="F7" s="6"/>
      <c r="G7" s="42"/>
      <c r="H7" s="6"/>
      <c r="I7" s="5"/>
    </row>
    <row r="8" spans="1:9" x14ac:dyDescent="0.25">
      <c r="A8" s="54" t="s">
        <v>197</v>
      </c>
      <c r="B8" s="52" t="s">
        <v>198</v>
      </c>
      <c r="C8" s="52" t="s">
        <v>137</v>
      </c>
      <c r="D8" s="53">
        <v>50</v>
      </c>
      <c r="E8" s="6"/>
      <c r="F8" s="6"/>
      <c r="G8" s="42"/>
      <c r="H8" s="6"/>
      <c r="I8" s="5"/>
    </row>
    <row r="9" spans="1:9" x14ac:dyDescent="0.25">
      <c r="A9" s="52" t="s">
        <v>199</v>
      </c>
      <c r="B9" s="52" t="s">
        <v>200</v>
      </c>
      <c r="C9" s="52" t="s">
        <v>220</v>
      </c>
      <c r="D9" s="53">
        <v>20</v>
      </c>
      <c r="E9" s="6"/>
      <c r="F9" s="6"/>
      <c r="G9" s="42"/>
      <c r="H9" s="6"/>
      <c r="I9" s="5"/>
    </row>
    <row r="10" spans="1:9" x14ac:dyDescent="0.25">
      <c r="A10" s="52" t="s">
        <v>215</v>
      </c>
      <c r="B10" s="52" t="s">
        <v>201</v>
      </c>
      <c r="C10" s="52" t="s">
        <v>137</v>
      </c>
      <c r="D10" s="53">
        <v>500</v>
      </c>
      <c r="E10" s="6"/>
      <c r="F10" s="6"/>
      <c r="G10" s="42"/>
      <c r="H10" s="6"/>
      <c r="I10" s="5"/>
    </row>
    <row r="11" spans="1:9" x14ac:dyDescent="0.25">
      <c r="A11" s="52" t="s">
        <v>202</v>
      </c>
      <c r="B11" s="52" t="s">
        <v>203</v>
      </c>
      <c r="C11" s="52" t="s">
        <v>137</v>
      </c>
      <c r="D11" s="53">
        <v>1</v>
      </c>
      <c r="E11" s="6"/>
      <c r="F11" s="6"/>
      <c r="G11" s="42"/>
      <c r="H11" s="6"/>
      <c r="I11" s="5"/>
    </row>
    <row r="12" spans="1:9" x14ac:dyDescent="0.25">
      <c r="A12" s="54" t="s">
        <v>204</v>
      </c>
      <c r="B12" s="52" t="s">
        <v>213</v>
      </c>
      <c r="C12" s="52" t="s">
        <v>137</v>
      </c>
      <c r="D12" s="53">
        <v>10</v>
      </c>
      <c r="E12" s="6"/>
      <c r="F12" s="6"/>
      <c r="G12" s="42"/>
      <c r="H12" s="6"/>
      <c r="I12" s="5"/>
    </row>
    <row r="13" spans="1:9" x14ac:dyDescent="0.25">
      <c r="A13" s="52" t="s">
        <v>205</v>
      </c>
      <c r="B13" s="52" t="s">
        <v>206</v>
      </c>
      <c r="C13" s="52" t="s">
        <v>137</v>
      </c>
      <c r="D13" s="53">
        <v>100</v>
      </c>
      <c r="E13" s="6"/>
      <c r="F13" s="6"/>
      <c r="G13" s="42"/>
      <c r="H13" s="6"/>
      <c r="I13" s="5"/>
    </row>
    <row r="14" spans="1:9" x14ac:dyDescent="0.25">
      <c r="A14" s="55" t="s">
        <v>214</v>
      </c>
      <c r="B14" s="52" t="s">
        <v>207</v>
      </c>
      <c r="C14" s="52" t="s">
        <v>137</v>
      </c>
      <c r="D14" s="53">
        <v>40</v>
      </c>
      <c r="E14" s="6"/>
      <c r="F14" s="6"/>
      <c r="G14" s="42"/>
      <c r="H14" s="6"/>
      <c r="I14" s="5"/>
    </row>
    <row r="15" spans="1:9" x14ac:dyDescent="0.25">
      <c r="A15" s="52" t="s">
        <v>208</v>
      </c>
      <c r="B15" s="52" t="s">
        <v>209</v>
      </c>
      <c r="C15" s="52" t="s">
        <v>137</v>
      </c>
      <c r="D15" s="53">
        <v>4000</v>
      </c>
      <c r="E15" s="6"/>
      <c r="F15" s="6"/>
      <c r="G15" s="42"/>
      <c r="H15" s="6"/>
      <c r="I15" s="5"/>
    </row>
    <row r="16" spans="1:9" x14ac:dyDescent="0.25">
      <c r="A16" s="52" t="s">
        <v>210</v>
      </c>
      <c r="B16" s="52" t="s">
        <v>211</v>
      </c>
      <c r="C16" s="52" t="s">
        <v>220</v>
      </c>
      <c r="D16" s="53">
        <v>20</v>
      </c>
      <c r="E16" s="6"/>
      <c r="F16" s="6"/>
      <c r="G16" s="42"/>
      <c r="H16" s="6"/>
      <c r="I16" s="5"/>
    </row>
    <row r="17" spans="1:9" x14ac:dyDescent="0.25">
      <c r="A17" s="52" t="s">
        <v>216</v>
      </c>
      <c r="B17" s="52" t="s">
        <v>212</v>
      </c>
      <c r="C17" s="52" t="s">
        <v>137</v>
      </c>
      <c r="D17" s="53">
        <v>40</v>
      </c>
      <c r="E17" s="6"/>
      <c r="F17" s="6"/>
      <c r="G17" s="42"/>
      <c r="H17" s="6"/>
      <c r="I17" s="5"/>
    </row>
    <row r="18" spans="1:9" ht="87.9" customHeight="1" x14ac:dyDescent="0.25">
      <c r="A18" s="11" t="s">
        <v>60</v>
      </c>
      <c r="B18" s="95"/>
      <c r="C18" s="95"/>
      <c r="D18" s="95"/>
      <c r="E18" s="95"/>
      <c r="F18" s="95"/>
      <c r="G18" s="95"/>
      <c r="H18" s="95"/>
      <c r="I18" s="95"/>
    </row>
  </sheetData>
  <mergeCells count="3">
    <mergeCell ref="B2:C2"/>
    <mergeCell ref="F2:I2"/>
    <mergeCell ref="B18:I18"/>
  </mergeCells>
  <phoneticPr fontId="12" type="noConversion"/>
  <dataValidations count="2">
    <dataValidation type="list" allowBlank="1" showInputMessage="1" showErrorMessage="1" sqref="F4:F17">
      <formula1>"Y,N"</formula1>
    </dataValidation>
    <dataValidation type="list" allowBlank="1" showInputMessage="1" showErrorMessage="1" sqref="E4:E17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9"/>
  <sheetViews>
    <sheetView workbookViewId="0">
      <selection activeCell="B4" sqref="B4"/>
    </sheetView>
  </sheetViews>
  <sheetFormatPr defaultColWidth="9" defaultRowHeight="15.6" x14ac:dyDescent="0.25"/>
  <cols>
    <col min="1" max="1" width="14" customWidth="1"/>
    <col min="2" max="2" width="25" customWidth="1"/>
    <col min="3" max="3" width="9.3984375" bestFit="1" customWidth="1"/>
    <col min="4" max="4" width="5" style="46" bestFit="1" customWidth="1"/>
    <col min="5" max="5" width="9.8984375" customWidth="1"/>
    <col min="6" max="6" width="9.3984375" customWidth="1"/>
    <col min="7" max="7" width="5.5" style="46" customWidth="1"/>
    <col min="8" max="8" width="19.3984375" customWidth="1"/>
    <col min="9" max="9" width="47" customWidth="1"/>
  </cols>
  <sheetData>
    <row r="1" spans="1:9" ht="30.9" customHeight="1" x14ac:dyDescent="0.25">
      <c r="A1" s="1" t="s">
        <v>9</v>
      </c>
      <c r="B1" s="2"/>
      <c r="C1" s="2"/>
      <c r="D1" s="39"/>
      <c r="E1" s="2"/>
      <c r="F1" s="2"/>
      <c r="G1" s="39"/>
      <c r="H1" s="2"/>
      <c r="I1" s="2"/>
    </row>
    <row r="2" spans="1:9" x14ac:dyDescent="0.25">
      <c r="A2" s="29" t="s">
        <v>10</v>
      </c>
      <c r="B2" s="93" t="s">
        <v>358</v>
      </c>
      <c r="C2" s="93"/>
      <c r="D2" s="40"/>
      <c r="E2" s="29" t="s">
        <v>11</v>
      </c>
      <c r="F2" s="94" t="s">
        <v>217</v>
      </c>
      <c r="G2" s="94"/>
      <c r="H2" s="94"/>
      <c r="I2" s="94"/>
    </row>
    <row r="3" spans="1:9" ht="24" x14ac:dyDescent="0.25">
      <c r="A3" s="19" t="s">
        <v>12</v>
      </c>
      <c r="B3" s="19" t="s">
        <v>13</v>
      </c>
      <c r="C3" s="19" t="s">
        <v>14</v>
      </c>
      <c r="D3" s="41" t="s">
        <v>15</v>
      </c>
      <c r="E3" s="19" t="s">
        <v>16</v>
      </c>
      <c r="F3" s="19" t="s">
        <v>17</v>
      </c>
      <c r="G3" s="41" t="s">
        <v>18</v>
      </c>
      <c r="H3" s="19" t="s">
        <v>19</v>
      </c>
      <c r="I3" s="19" t="s">
        <v>5</v>
      </c>
    </row>
    <row r="4" spans="1:9" x14ac:dyDescent="0.25">
      <c r="A4" s="52" t="s">
        <v>187</v>
      </c>
      <c r="B4" s="52" t="s">
        <v>359</v>
      </c>
      <c r="C4" s="52" t="s">
        <v>352</v>
      </c>
      <c r="D4" s="56">
        <v>40</v>
      </c>
      <c r="E4" s="6" t="s">
        <v>121</v>
      </c>
      <c r="F4" s="6" t="s">
        <v>21</v>
      </c>
      <c r="G4" s="42"/>
      <c r="H4" s="6"/>
      <c r="I4" s="6" t="s">
        <v>22</v>
      </c>
    </row>
    <row r="5" spans="1:9" x14ac:dyDescent="0.25">
      <c r="A5" s="52" t="s">
        <v>218</v>
      </c>
      <c r="B5" s="52" t="s">
        <v>219</v>
      </c>
      <c r="C5" s="52" t="s">
        <v>220</v>
      </c>
      <c r="D5" s="56">
        <v>4000</v>
      </c>
      <c r="E5" s="6"/>
      <c r="F5" s="6"/>
      <c r="G5" s="42"/>
      <c r="H5" s="6"/>
      <c r="I5" s="5"/>
    </row>
    <row r="6" spans="1:9" x14ac:dyDescent="0.25">
      <c r="A6" s="52" t="s">
        <v>221</v>
      </c>
      <c r="B6" s="52" t="s">
        <v>222</v>
      </c>
      <c r="C6" s="52" t="s">
        <v>349</v>
      </c>
      <c r="D6" s="56">
        <v>20</v>
      </c>
      <c r="E6" s="6"/>
      <c r="F6" s="6"/>
      <c r="G6" s="42"/>
      <c r="H6" s="6"/>
      <c r="I6" s="5"/>
    </row>
    <row r="7" spans="1:9" x14ac:dyDescent="0.25">
      <c r="A7" s="52" t="s">
        <v>223</v>
      </c>
      <c r="B7" s="52" t="s">
        <v>224</v>
      </c>
      <c r="C7" s="52" t="s">
        <v>137</v>
      </c>
      <c r="D7" s="56">
        <v>4000</v>
      </c>
      <c r="E7" s="6"/>
      <c r="F7" s="6"/>
      <c r="G7" s="42"/>
      <c r="H7" s="6"/>
      <c r="I7" s="5"/>
    </row>
    <row r="8" spans="1:9" x14ac:dyDescent="0.25">
      <c r="A8" s="52" t="s">
        <v>225</v>
      </c>
      <c r="B8" s="52" t="s">
        <v>226</v>
      </c>
      <c r="C8" s="52" t="s">
        <v>137</v>
      </c>
      <c r="D8" s="56">
        <v>10</v>
      </c>
      <c r="E8" s="6"/>
      <c r="F8" s="6"/>
      <c r="G8" s="42"/>
      <c r="H8" s="6"/>
      <c r="I8" s="5"/>
    </row>
    <row r="9" spans="1:9" x14ac:dyDescent="0.25">
      <c r="A9" s="52" t="s">
        <v>227</v>
      </c>
      <c r="B9" s="52" t="s">
        <v>228</v>
      </c>
      <c r="C9" s="52" t="s">
        <v>137</v>
      </c>
      <c r="D9" s="56">
        <v>10</v>
      </c>
      <c r="E9" s="6"/>
      <c r="F9" s="6"/>
      <c r="G9" s="42"/>
      <c r="H9" s="6"/>
      <c r="I9" s="5"/>
    </row>
    <row r="10" spans="1:9" x14ac:dyDescent="0.25">
      <c r="A10" s="52" t="s">
        <v>229</v>
      </c>
      <c r="B10" s="52" t="s">
        <v>230</v>
      </c>
      <c r="C10" s="52" t="s">
        <v>137</v>
      </c>
      <c r="D10" s="56">
        <v>100</v>
      </c>
      <c r="E10" s="6"/>
      <c r="F10" s="6"/>
      <c r="G10" s="42"/>
      <c r="H10" s="6"/>
      <c r="I10" s="5"/>
    </row>
    <row r="11" spans="1:9" x14ac:dyDescent="0.25">
      <c r="A11" s="52" t="s">
        <v>231</v>
      </c>
      <c r="B11" s="52" t="s">
        <v>232</v>
      </c>
      <c r="C11" s="52" t="s">
        <v>220</v>
      </c>
      <c r="D11" s="56">
        <v>20</v>
      </c>
      <c r="E11" s="6"/>
      <c r="F11" s="6"/>
      <c r="G11" s="42"/>
      <c r="H11" s="6"/>
      <c r="I11" s="5"/>
    </row>
    <row r="12" spans="1:9" x14ac:dyDescent="0.25">
      <c r="A12" s="52" t="s">
        <v>233</v>
      </c>
      <c r="B12" s="52" t="s">
        <v>234</v>
      </c>
      <c r="C12" s="52" t="s">
        <v>220</v>
      </c>
      <c r="D12" s="56">
        <v>10</v>
      </c>
      <c r="E12" s="6"/>
      <c r="F12" s="6"/>
      <c r="G12" s="42"/>
      <c r="H12" s="6"/>
      <c r="I12" s="5"/>
    </row>
    <row r="13" spans="1:9" x14ac:dyDescent="0.25">
      <c r="A13" s="52" t="s">
        <v>246</v>
      </c>
      <c r="B13" s="52" t="s">
        <v>235</v>
      </c>
      <c r="C13" s="52" t="s">
        <v>350</v>
      </c>
      <c r="D13" s="56">
        <v>1</v>
      </c>
      <c r="E13" s="6"/>
      <c r="F13" s="6"/>
      <c r="G13" s="42"/>
      <c r="H13" s="6"/>
      <c r="I13" s="5"/>
    </row>
    <row r="14" spans="1:9" x14ac:dyDescent="0.25">
      <c r="A14" s="52" t="s">
        <v>236</v>
      </c>
      <c r="B14" s="52" t="s">
        <v>237</v>
      </c>
      <c r="C14" s="52" t="s">
        <v>137</v>
      </c>
      <c r="D14" s="56">
        <v>20</v>
      </c>
      <c r="E14" s="6"/>
      <c r="F14" s="6"/>
      <c r="G14" s="42"/>
      <c r="H14" s="6"/>
      <c r="I14" s="5"/>
    </row>
    <row r="15" spans="1:9" x14ac:dyDescent="0.25">
      <c r="A15" s="52" t="s">
        <v>238</v>
      </c>
      <c r="B15" s="52" t="s">
        <v>239</v>
      </c>
      <c r="C15" s="52" t="s">
        <v>137</v>
      </c>
      <c r="D15" s="56">
        <v>10</v>
      </c>
      <c r="E15" s="6"/>
      <c r="F15" s="6"/>
      <c r="G15" s="42"/>
      <c r="H15" s="6"/>
      <c r="I15" s="5"/>
    </row>
    <row r="16" spans="1:9" x14ac:dyDescent="0.25">
      <c r="A16" s="52" t="s">
        <v>240</v>
      </c>
      <c r="B16" s="52" t="s">
        <v>241</v>
      </c>
      <c r="C16" s="52" t="s">
        <v>220</v>
      </c>
      <c r="D16" s="56">
        <v>10</v>
      </c>
      <c r="E16" s="6"/>
      <c r="F16" s="6"/>
      <c r="G16" s="42"/>
      <c r="H16" s="6"/>
      <c r="I16" s="5"/>
    </row>
    <row r="17" spans="1:9" x14ac:dyDescent="0.25">
      <c r="A17" s="52" t="s">
        <v>242</v>
      </c>
      <c r="B17" s="52" t="s">
        <v>243</v>
      </c>
      <c r="C17" s="52" t="s">
        <v>351</v>
      </c>
      <c r="D17" s="56">
        <v>1</v>
      </c>
      <c r="E17" s="6"/>
      <c r="F17" s="6"/>
      <c r="G17" s="42"/>
      <c r="H17" s="6"/>
      <c r="I17" s="5"/>
    </row>
    <row r="18" spans="1:9" x14ac:dyDescent="0.25">
      <c r="A18" s="52" t="s">
        <v>244</v>
      </c>
      <c r="B18" s="52" t="s">
        <v>245</v>
      </c>
      <c r="C18" s="52" t="s">
        <v>220</v>
      </c>
      <c r="D18" s="56">
        <v>40</v>
      </c>
      <c r="E18" s="6"/>
      <c r="F18" s="6"/>
      <c r="G18" s="42"/>
      <c r="H18" s="6"/>
      <c r="I18" s="5"/>
    </row>
    <row r="19" spans="1:9" ht="87.9" customHeight="1" x14ac:dyDescent="0.25">
      <c r="A19" s="11" t="s">
        <v>60</v>
      </c>
      <c r="B19" s="95"/>
      <c r="C19" s="95"/>
      <c r="D19" s="95"/>
      <c r="E19" s="95"/>
      <c r="F19" s="95"/>
      <c r="G19" s="95"/>
      <c r="H19" s="95"/>
      <c r="I19" s="95"/>
    </row>
  </sheetData>
  <mergeCells count="3">
    <mergeCell ref="B2:C2"/>
    <mergeCell ref="F2:I2"/>
    <mergeCell ref="B19:I19"/>
  </mergeCells>
  <phoneticPr fontId="12" type="noConversion"/>
  <dataValidations count="2">
    <dataValidation type="list" allowBlank="1" showInputMessage="1" showErrorMessage="1" sqref="F4:F18">
      <formula1>"Y,N"</formula1>
    </dataValidation>
    <dataValidation type="list" allowBlank="1" showInputMessage="1" showErrorMessage="1" sqref="E4:E1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27"/>
  <sheetViews>
    <sheetView workbookViewId="0">
      <selection activeCell="C36" sqref="C36"/>
    </sheetView>
  </sheetViews>
  <sheetFormatPr defaultColWidth="9" defaultRowHeight="15.6" x14ac:dyDescent="0.25"/>
  <cols>
    <col min="1" max="1" width="25" customWidth="1"/>
    <col min="2" max="2" width="26.59765625" bestFit="1" customWidth="1"/>
    <col min="3" max="3" width="10.8984375" customWidth="1"/>
    <col min="4" max="4" width="8.3984375" style="46" customWidth="1"/>
    <col min="5" max="5" width="9.8984375" customWidth="1"/>
    <col min="6" max="6" width="9.3984375" customWidth="1"/>
    <col min="7" max="7" width="12.59765625" style="46" customWidth="1"/>
    <col min="8" max="8" width="19.3984375" customWidth="1"/>
    <col min="9" max="9" width="47" customWidth="1"/>
  </cols>
  <sheetData>
    <row r="1" spans="1:9" ht="30.9" customHeight="1" x14ac:dyDescent="0.25">
      <c r="A1" s="16" t="s">
        <v>9</v>
      </c>
      <c r="B1" s="17"/>
      <c r="C1" s="17"/>
      <c r="D1" s="59"/>
      <c r="E1" s="17"/>
      <c r="F1" s="17"/>
      <c r="G1" s="59"/>
      <c r="H1" s="17"/>
      <c r="I1" s="17"/>
    </row>
    <row r="2" spans="1:9" x14ac:dyDescent="0.25">
      <c r="A2" s="29" t="s">
        <v>10</v>
      </c>
      <c r="B2" s="93" t="s">
        <v>360</v>
      </c>
      <c r="C2" s="93"/>
      <c r="D2" s="40"/>
      <c r="E2" s="29" t="s">
        <v>11</v>
      </c>
      <c r="F2" s="94" t="s">
        <v>247</v>
      </c>
      <c r="G2" s="94"/>
      <c r="H2" s="94"/>
      <c r="I2" s="94"/>
    </row>
    <row r="3" spans="1:9" ht="24" x14ac:dyDescent="0.25">
      <c r="A3" s="19" t="s">
        <v>12</v>
      </c>
      <c r="B3" s="19" t="s">
        <v>13</v>
      </c>
      <c r="C3" s="19" t="s">
        <v>14</v>
      </c>
      <c r="D3" s="41" t="s">
        <v>15</v>
      </c>
      <c r="E3" s="19" t="s">
        <v>16</v>
      </c>
      <c r="F3" s="19" t="s">
        <v>17</v>
      </c>
      <c r="G3" s="41" t="s">
        <v>18</v>
      </c>
      <c r="H3" s="19" t="s">
        <v>19</v>
      </c>
      <c r="I3" s="19" t="s">
        <v>5</v>
      </c>
    </row>
    <row r="4" spans="1:9" x14ac:dyDescent="0.25">
      <c r="A4" s="49" t="s">
        <v>61</v>
      </c>
      <c r="B4" s="49" t="s">
        <v>62</v>
      </c>
      <c r="C4" s="49" t="s">
        <v>353</v>
      </c>
      <c r="D4" s="60">
        <v>40</v>
      </c>
      <c r="E4" s="61" t="s">
        <v>121</v>
      </c>
      <c r="F4" s="5" t="s">
        <v>21</v>
      </c>
      <c r="G4" s="43"/>
      <c r="H4" s="5"/>
      <c r="I4" s="5" t="s">
        <v>22</v>
      </c>
    </row>
    <row r="5" spans="1:9" x14ac:dyDescent="0.25">
      <c r="A5" s="49" t="s">
        <v>138</v>
      </c>
      <c r="B5" s="49" t="s">
        <v>136</v>
      </c>
      <c r="C5" s="49" t="s">
        <v>59</v>
      </c>
      <c r="D5" s="60">
        <v>50</v>
      </c>
      <c r="E5" s="61"/>
      <c r="F5" s="5"/>
      <c r="G5" s="43"/>
      <c r="H5" s="5"/>
      <c r="I5" s="5"/>
    </row>
    <row r="6" spans="1:9" x14ac:dyDescent="0.25">
      <c r="A6" s="49" t="s">
        <v>66</v>
      </c>
      <c r="B6" s="49" t="s">
        <v>139</v>
      </c>
      <c r="C6" s="49" t="s">
        <v>354</v>
      </c>
      <c r="D6" s="60">
        <v>20</v>
      </c>
      <c r="E6" s="61"/>
      <c r="F6" s="5"/>
      <c r="G6" s="43"/>
      <c r="H6" s="5"/>
      <c r="I6" s="5"/>
    </row>
    <row r="7" spans="1:9" x14ac:dyDescent="0.25">
      <c r="A7" s="49" t="s">
        <v>248</v>
      </c>
      <c r="B7" s="49" t="s">
        <v>140</v>
      </c>
      <c r="C7" s="49" t="s">
        <v>59</v>
      </c>
      <c r="D7" s="60">
        <v>40</v>
      </c>
      <c r="E7" s="61"/>
      <c r="F7" s="5"/>
      <c r="G7" s="43"/>
      <c r="H7" s="5"/>
      <c r="I7" s="5"/>
    </row>
    <row r="8" spans="1:9" x14ac:dyDescent="0.25">
      <c r="A8" s="50" t="s">
        <v>141</v>
      </c>
      <c r="B8" s="49" t="s">
        <v>142</v>
      </c>
      <c r="C8" s="49" t="s">
        <v>59</v>
      </c>
      <c r="D8" s="60">
        <v>10</v>
      </c>
      <c r="E8" s="61"/>
      <c r="F8" s="5"/>
      <c r="G8" s="43"/>
      <c r="H8" s="5"/>
      <c r="I8" s="5"/>
    </row>
    <row r="9" spans="1:9" x14ac:dyDescent="0.25">
      <c r="A9" s="50" t="s">
        <v>67</v>
      </c>
      <c r="B9" s="49" t="s">
        <v>143</v>
      </c>
      <c r="C9" s="49" t="s">
        <v>59</v>
      </c>
      <c r="D9" s="60">
        <v>10</v>
      </c>
      <c r="E9" s="61"/>
      <c r="F9" s="5"/>
      <c r="G9" s="43"/>
      <c r="H9" s="5"/>
      <c r="I9" s="5"/>
    </row>
    <row r="10" spans="1:9" x14ac:dyDescent="0.25">
      <c r="A10" s="49" t="s">
        <v>144</v>
      </c>
      <c r="B10" s="49" t="s">
        <v>145</v>
      </c>
      <c r="C10" s="49" t="s">
        <v>59</v>
      </c>
      <c r="D10" s="60">
        <v>50</v>
      </c>
      <c r="E10" s="61"/>
      <c r="F10" s="5"/>
      <c r="G10" s="43"/>
      <c r="H10" s="5"/>
      <c r="I10" s="5"/>
    </row>
    <row r="11" spans="1:9" x14ac:dyDescent="0.25">
      <c r="A11" s="49" t="s">
        <v>99</v>
      </c>
      <c r="B11" s="49" t="s">
        <v>146</v>
      </c>
      <c r="C11" s="49" t="s">
        <v>59</v>
      </c>
      <c r="D11" s="60">
        <v>200</v>
      </c>
      <c r="E11" s="61"/>
      <c r="F11" s="5"/>
      <c r="G11" s="43"/>
      <c r="H11" s="5"/>
      <c r="I11" s="5"/>
    </row>
    <row r="12" spans="1:9" x14ac:dyDescent="0.25">
      <c r="A12" s="50" t="s">
        <v>73</v>
      </c>
      <c r="B12" s="49" t="s">
        <v>147</v>
      </c>
      <c r="C12" s="49" t="s">
        <v>59</v>
      </c>
      <c r="D12" s="60">
        <v>6</v>
      </c>
      <c r="E12" s="61"/>
      <c r="F12" s="5"/>
      <c r="G12" s="43"/>
      <c r="H12" s="5"/>
      <c r="I12" s="5"/>
    </row>
    <row r="13" spans="1:9" x14ac:dyDescent="0.25">
      <c r="A13" s="50" t="s">
        <v>74</v>
      </c>
      <c r="B13" s="49" t="s">
        <v>148</v>
      </c>
      <c r="C13" s="49" t="s">
        <v>59</v>
      </c>
      <c r="D13" s="60">
        <v>10</v>
      </c>
      <c r="E13" s="61"/>
      <c r="F13" s="5"/>
      <c r="G13" s="43"/>
      <c r="H13" s="5"/>
      <c r="I13" s="5"/>
    </row>
    <row r="14" spans="1:9" x14ac:dyDescent="0.25">
      <c r="A14" s="50" t="s">
        <v>249</v>
      </c>
      <c r="B14" s="49" t="s">
        <v>149</v>
      </c>
      <c r="C14" s="49" t="s">
        <v>59</v>
      </c>
      <c r="D14" s="60">
        <v>10</v>
      </c>
      <c r="E14" s="61"/>
      <c r="F14" s="5"/>
      <c r="G14" s="43"/>
      <c r="H14" s="5"/>
      <c r="I14" s="5"/>
    </row>
    <row r="15" spans="1:9" x14ac:dyDescent="0.25">
      <c r="A15" s="49" t="s">
        <v>150</v>
      </c>
      <c r="B15" s="49" t="s">
        <v>151</v>
      </c>
      <c r="C15" s="49" t="s">
        <v>59</v>
      </c>
      <c r="D15" s="60">
        <v>50</v>
      </c>
      <c r="E15" s="61"/>
      <c r="F15" s="5"/>
      <c r="G15" s="43"/>
      <c r="H15" s="5"/>
      <c r="I15" s="5"/>
    </row>
    <row r="16" spans="1:9" x14ac:dyDescent="0.25">
      <c r="A16" s="50" t="s">
        <v>75</v>
      </c>
      <c r="B16" s="49" t="s">
        <v>152</v>
      </c>
      <c r="C16" s="49" t="s">
        <v>59</v>
      </c>
      <c r="D16" s="60">
        <v>10</v>
      </c>
      <c r="E16" s="61"/>
      <c r="F16" s="5"/>
      <c r="G16" s="43"/>
      <c r="H16" s="5"/>
      <c r="I16" s="5"/>
    </row>
    <row r="17" spans="1:9" x14ac:dyDescent="0.25">
      <c r="A17" s="50" t="s">
        <v>76</v>
      </c>
      <c r="B17" s="49" t="s">
        <v>153</v>
      </c>
      <c r="C17" s="49" t="s">
        <v>59</v>
      </c>
      <c r="D17" s="60">
        <v>10</v>
      </c>
      <c r="E17" s="61"/>
      <c r="F17" s="5"/>
      <c r="G17" s="43"/>
      <c r="H17" s="5"/>
      <c r="I17" s="5"/>
    </row>
    <row r="18" spans="1:9" x14ac:dyDescent="0.25">
      <c r="A18" s="50" t="s">
        <v>68</v>
      </c>
      <c r="B18" s="49" t="s">
        <v>154</v>
      </c>
      <c r="C18" s="49" t="s">
        <v>59</v>
      </c>
      <c r="D18" s="60">
        <v>10</v>
      </c>
      <c r="E18" s="61"/>
      <c r="F18" s="5"/>
      <c r="G18" s="43"/>
      <c r="H18" s="5"/>
      <c r="I18" s="5"/>
    </row>
    <row r="19" spans="1:9" x14ac:dyDescent="0.25">
      <c r="A19" s="49" t="s">
        <v>63</v>
      </c>
      <c r="B19" s="49" t="s">
        <v>155</v>
      </c>
      <c r="C19" s="49" t="s">
        <v>59</v>
      </c>
      <c r="D19" s="60">
        <v>50</v>
      </c>
      <c r="E19" s="61"/>
      <c r="F19" s="5"/>
      <c r="G19" s="43"/>
      <c r="H19" s="5"/>
      <c r="I19" s="5"/>
    </row>
    <row r="20" spans="1:9" x14ac:dyDescent="0.25">
      <c r="A20" s="50" t="s">
        <v>65</v>
      </c>
      <c r="B20" s="49" t="s">
        <v>156</v>
      </c>
      <c r="C20" s="49" t="s">
        <v>59</v>
      </c>
      <c r="D20" s="60">
        <v>10</v>
      </c>
      <c r="E20" s="61"/>
      <c r="F20" s="5"/>
      <c r="G20" s="43"/>
      <c r="H20" s="5"/>
      <c r="I20" s="5"/>
    </row>
    <row r="21" spans="1:9" x14ac:dyDescent="0.25">
      <c r="A21" s="49" t="s">
        <v>157</v>
      </c>
      <c r="B21" s="49" t="s">
        <v>158</v>
      </c>
      <c r="C21" s="49" t="s">
        <v>59</v>
      </c>
      <c r="D21" s="60">
        <v>200</v>
      </c>
      <c r="E21" s="61"/>
      <c r="F21" s="5"/>
      <c r="G21" s="43"/>
      <c r="H21" s="5"/>
      <c r="I21" s="5"/>
    </row>
    <row r="22" spans="1:9" x14ac:dyDescent="0.25">
      <c r="A22" s="50" t="s">
        <v>77</v>
      </c>
      <c r="B22" s="49" t="s">
        <v>159</v>
      </c>
      <c r="C22" s="49" t="s">
        <v>59</v>
      </c>
      <c r="D22" s="60">
        <v>6</v>
      </c>
      <c r="E22" s="61"/>
      <c r="F22" s="5"/>
      <c r="G22" s="43"/>
      <c r="H22" s="5"/>
      <c r="I22" s="5"/>
    </row>
    <row r="23" spans="1:9" x14ac:dyDescent="0.25">
      <c r="A23" s="51" t="s">
        <v>78</v>
      </c>
      <c r="B23" s="49" t="s">
        <v>160</v>
      </c>
      <c r="C23" s="49" t="s">
        <v>189</v>
      </c>
      <c r="D23" s="60"/>
      <c r="E23" s="61"/>
      <c r="F23" s="5"/>
      <c r="G23" s="43"/>
      <c r="H23" s="5"/>
      <c r="I23" s="5"/>
    </row>
    <row r="24" spans="1:9" x14ac:dyDescent="0.25">
      <c r="A24" s="49" t="s">
        <v>70</v>
      </c>
      <c r="B24" s="49" t="s">
        <v>161</v>
      </c>
      <c r="C24" s="49" t="s">
        <v>59</v>
      </c>
      <c r="D24" s="60">
        <v>100</v>
      </c>
      <c r="E24" s="61"/>
      <c r="F24" s="5"/>
      <c r="G24" s="43"/>
      <c r="H24" s="5"/>
      <c r="I24" s="5"/>
    </row>
    <row r="25" spans="1:9" x14ac:dyDescent="0.25">
      <c r="A25" s="50" t="s">
        <v>64</v>
      </c>
      <c r="B25" s="49" t="s">
        <v>162</v>
      </c>
      <c r="C25" s="49" t="s">
        <v>59</v>
      </c>
      <c r="D25" s="60">
        <v>10</v>
      </c>
      <c r="E25" s="61"/>
      <c r="F25" s="5"/>
      <c r="G25" s="43"/>
      <c r="H25" s="5"/>
      <c r="I25" s="5"/>
    </row>
    <row r="26" spans="1:9" x14ac:dyDescent="0.25">
      <c r="A26" s="49" t="s">
        <v>79</v>
      </c>
      <c r="B26" s="49" t="s">
        <v>163</v>
      </c>
      <c r="C26" s="49" t="s">
        <v>59</v>
      </c>
      <c r="D26" s="60">
        <v>100</v>
      </c>
      <c r="E26" s="61"/>
      <c r="F26" s="5"/>
      <c r="G26" s="43"/>
      <c r="H26" s="5"/>
      <c r="I26" s="5"/>
    </row>
    <row r="27" spans="1:9" ht="87.9" customHeight="1" x14ac:dyDescent="0.25">
      <c r="A27" s="5" t="s">
        <v>60</v>
      </c>
      <c r="B27" s="95"/>
      <c r="C27" s="95"/>
      <c r="D27" s="95"/>
      <c r="E27" s="95"/>
      <c r="F27" s="95"/>
      <c r="G27" s="95"/>
      <c r="H27" s="95"/>
      <c r="I27" s="95"/>
    </row>
  </sheetData>
  <mergeCells count="3">
    <mergeCell ref="B2:C2"/>
    <mergeCell ref="F2:I2"/>
    <mergeCell ref="B27:I27"/>
  </mergeCells>
  <phoneticPr fontId="12" type="noConversion"/>
  <dataValidations count="2">
    <dataValidation type="list" allowBlank="1" showInputMessage="1" showErrorMessage="1" sqref="F4:F26">
      <formula1>"Y,N"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8"/>
  <sheetViews>
    <sheetView workbookViewId="0">
      <selection activeCell="F18" sqref="F18"/>
    </sheetView>
  </sheetViews>
  <sheetFormatPr defaultColWidth="9" defaultRowHeight="15.6" x14ac:dyDescent="0.25"/>
  <cols>
    <col min="1" max="1" width="14" customWidth="1"/>
    <col min="2" max="2" width="25" customWidth="1"/>
    <col min="3" max="3" width="10.8984375" customWidth="1"/>
    <col min="4" max="4" width="8.3984375" style="46" customWidth="1"/>
    <col min="5" max="5" width="9.8984375" customWidth="1"/>
    <col min="6" max="6" width="9.3984375" customWidth="1"/>
    <col min="7" max="7" width="5.5" customWidth="1"/>
    <col min="8" max="8" width="19.3984375" customWidth="1"/>
    <col min="9" max="9" width="47" customWidth="1"/>
  </cols>
  <sheetData>
    <row r="1" spans="1:9" ht="30.9" customHeight="1" x14ac:dyDescent="0.25">
      <c r="A1" s="1" t="s">
        <v>9</v>
      </c>
      <c r="B1" s="2"/>
      <c r="C1" s="2"/>
      <c r="D1" s="39"/>
      <c r="E1" s="2"/>
      <c r="F1" s="2"/>
      <c r="G1" s="2"/>
      <c r="H1" s="2"/>
      <c r="I1" s="2"/>
    </row>
    <row r="2" spans="1:9" x14ac:dyDescent="0.25">
      <c r="A2" s="29" t="s">
        <v>10</v>
      </c>
      <c r="B2" s="93" t="s">
        <v>361</v>
      </c>
      <c r="C2" s="93"/>
      <c r="D2" s="40"/>
      <c r="E2" s="29" t="s">
        <v>11</v>
      </c>
      <c r="F2" s="94" t="s">
        <v>250</v>
      </c>
      <c r="G2" s="94"/>
      <c r="H2" s="94"/>
      <c r="I2" s="94"/>
    </row>
    <row r="3" spans="1:9" ht="24.6" thickBot="1" x14ac:dyDescent="0.3">
      <c r="A3" s="19" t="s">
        <v>12</v>
      </c>
      <c r="B3" s="19" t="s">
        <v>13</v>
      </c>
      <c r="C3" s="19" t="s">
        <v>14</v>
      </c>
      <c r="D3" s="41" t="s">
        <v>15</v>
      </c>
      <c r="E3" s="19" t="s">
        <v>16</v>
      </c>
      <c r="F3" s="19" t="s">
        <v>17</v>
      </c>
      <c r="G3" s="19" t="s">
        <v>18</v>
      </c>
      <c r="H3" s="19" t="s">
        <v>19</v>
      </c>
      <c r="I3" s="19" t="s">
        <v>5</v>
      </c>
    </row>
    <row r="4" spans="1:9" ht="16.2" thickBot="1" x14ac:dyDescent="0.3">
      <c r="A4" s="63" t="s">
        <v>61</v>
      </c>
      <c r="B4" s="47" t="s">
        <v>122</v>
      </c>
      <c r="C4" s="6" t="s">
        <v>45</v>
      </c>
      <c r="D4" s="42">
        <v>40</v>
      </c>
      <c r="E4" s="6" t="s">
        <v>251</v>
      </c>
      <c r="F4" s="6" t="s">
        <v>21</v>
      </c>
      <c r="G4" s="6"/>
      <c r="H4" s="6"/>
      <c r="I4" s="6" t="s">
        <v>22</v>
      </c>
    </row>
    <row r="5" spans="1:9" ht="16.2" thickBot="1" x14ac:dyDescent="0.3">
      <c r="A5" s="64" t="s">
        <v>80</v>
      </c>
      <c r="B5" s="48" t="s">
        <v>164</v>
      </c>
      <c r="C5" s="6" t="s">
        <v>59</v>
      </c>
      <c r="D5" s="43">
        <v>10</v>
      </c>
      <c r="E5" s="6"/>
      <c r="F5" s="6"/>
      <c r="G5" s="6"/>
      <c r="H5" s="6"/>
      <c r="I5" s="5"/>
    </row>
    <row r="6" spans="1:9" ht="16.2" thickBot="1" x14ac:dyDescent="0.3">
      <c r="A6" s="64" t="s">
        <v>81</v>
      </c>
      <c r="B6" s="48" t="s">
        <v>165</v>
      </c>
      <c r="C6" s="6" t="s">
        <v>59</v>
      </c>
      <c r="D6" s="43">
        <v>100</v>
      </c>
      <c r="E6" s="6"/>
      <c r="F6" s="6"/>
      <c r="G6" s="6"/>
      <c r="H6" s="6"/>
      <c r="I6" s="5"/>
    </row>
    <row r="7" spans="1:9" ht="16.8" thickBot="1" x14ac:dyDescent="0.3">
      <c r="A7" s="65" t="s">
        <v>166</v>
      </c>
      <c r="B7" s="62" t="s">
        <v>140</v>
      </c>
      <c r="C7" s="6" t="s">
        <v>59</v>
      </c>
      <c r="D7" s="43">
        <v>40</v>
      </c>
      <c r="E7" s="6"/>
      <c r="F7" s="6"/>
      <c r="G7" s="6"/>
      <c r="H7" s="6"/>
      <c r="I7" s="5"/>
    </row>
    <row r="8" spans="1:9" ht="87.9" customHeight="1" x14ac:dyDescent="0.25">
      <c r="A8" s="11" t="s">
        <v>60</v>
      </c>
      <c r="B8" s="95"/>
      <c r="C8" s="95"/>
      <c r="D8" s="95"/>
      <c r="E8" s="95"/>
      <c r="F8" s="95"/>
      <c r="G8" s="95"/>
      <c r="H8" s="95"/>
      <c r="I8" s="95"/>
    </row>
  </sheetData>
  <mergeCells count="3">
    <mergeCell ref="B2:C2"/>
    <mergeCell ref="F2:I2"/>
    <mergeCell ref="B8:I8"/>
  </mergeCells>
  <phoneticPr fontId="12" type="noConversion"/>
  <dataValidations count="3">
    <dataValidation type="list" allowBlank="1" showInputMessage="1" showErrorMessage="1" sqref="F4:F7">
      <formula1>"Y,N"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C4:C7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16"/>
  <sheetViews>
    <sheetView workbookViewId="0">
      <selection activeCell="I19" sqref="I19"/>
    </sheetView>
  </sheetViews>
  <sheetFormatPr defaultColWidth="9" defaultRowHeight="15.6" x14ac:dyDescent="0.25"/>
  <cols>
    <col min="1" max="1" width="14" customWidth="1"/>
    <col min="2" max="2" width="25" customWidth="1"/>
    <col min="3" max="3" width="10.8984375" customWidth="1"/>
    <col min="4" max="4" width="15" style="66" bestFit="1" customWidth="1"/>
    <col min="5" max="5" width="9.8984375" customWidth="1"/>
    <col min="6" max="6" width="9.3984375" customWidth="1"/>
    <col min="7" max="7" width="5.5" style="46" customWidth="1"/>
    <col min="8" max="8" width="19.3984375" customWidth="1"/>
    <col min="9" max="9" width="47" customWidth="1"/>
  </cols>
  <sheetData>
    <row r="1" spans="1:9" ht="30.9" customHeight="1" x14ac:dyDescent="0.25">
      <c r="A1" s="1" t="s">
        <v>9</v>
      </c>
      <c r="B1" s="2"/>
      <c r="C1" s="2"/>
      <c r="D1" s="72"/>
      <c r="E1" s="2"/>
      <c r="F1" s="2"/>
      <c r="G1" s="39"/>
      <c r="H1" s="2"/>
      <c r="I1" s="2"/>
    </row>
    <row r="2" spans="1:9" x14ac:dyDescent="0.25">
      <c r="A2" s="29" t="s">
        <v>10</v>
      </c>
      <c r="B2" s="93" t="s">
        <v>362</v>
      </c>
      <c r="C2" s="93"/>
      <c r="D2" s="40"/>
      <c r="E2" s="29" t="s">
        <v>11</v>
      </c>
      <c r="F2" s="94" t="s">
        <v>253</v>
      </c>
      <c r="G2" s="94"/>
      <c r="H2" s="94"/>
      <c r="I2" s="94"/>
    </row>
    <row r="3" spans="1:9" ht="24" x14ac:dyDescent="0.25">
      <c r="A3" s="70" t="s">
        <v>12</v>
      </c>
      <c r="B3" s="70" t="s">
        <v>13</v>
      </c>
      <c r="C3" s="70" t="s">
        <v>14</v>
      </c>
      <c r="D3" s="73" t="s">
        <v>15</v>
      </c>
      <c r="E3" s="70" t="s">
        <v>16</v>
      </c>
      <c r="F3" s="70" t="s">
        <v>17</v>
      </c>
      <c r="G3" s="71" t="s">
        <v>18</v>
      </c>
      <c r="H3" s="70" t="s">
        <v>19</v>
      </c>
      <c r="I3" s="70" t="s">
        <v>5</v>
      </c>
    </row>
    <row r="4" spans="1:9" x14ac:dyDescent="0.25">
      <c r="A4" s="74" t="s">
        <v>61</v>
      </c>
      <c r="B4" s="74" t="s">
        <v>122</v>
      </c>
      <c r="C4" s="76" t="s">
        <v>260</v>
      </c>
      <c r="D4" s="75">
        <v>40</v>
      </c>
      <c r="E4" s="5" t="s">
        <v>254</v>
      </c>
      <c r="F4" s="5" t="s">
        <v>21</v>
      </c>
      <c r="G4" s="43"/>
      <c r="H4" s="5"/>
      <c r="I4" s="5" t="s">
        <v>22</v>
      </c>
    </row>
    <row r="5" spans="1:9" x14ac:dyDescent="0.25">
      <c r="A5" s="74" t="s">
        <v>82</v>
      </c>
      <c r="B5" s="74" t="s">
        <v>168</v>
      </c>
      <c r="C5" s="74" t="s">
        <v>255</v>
      </c>
      <c r="D5" s="75">
        <v>1</v>
      </c>
      <c r="E5" s="5"/>
      <c r="F5" s="5"/>
      <c r="G5" s="43"/>
      <c r="H5" s="5"/>
      <c r="I5" s="5"/>
    </row>
    <row r="6" spans="1:9" x14ac:dyDescent="0.25">
      <c r="A6" s="74" t="s">
        <v>83</v>
      </c>
      <c r="B6" s="74" t="s">
        <v>169</v>
      </c>
      <c r="C6" s="74" t="s">
        <v>25</v>
      </c>
      <c r="D6" s="75">
        <v>1</v>
      </c>
      <c r="E6" s="5"/>
      <c r="F6" s="5"/>
      <c r="G6" s="43"/>
      <c r="H6" s="5"/>
      <c r="I6" s="5"/>
    </row>
    <row r="7" spans="1:9" ht="24" x14ac:dyDescent="0.25">
      <c r="A7" s="74" t="s">
        <v>84</v>
      </c>
      <c r="B7" s="74" t="s">
        <v>170</v>
      </c>
      <c r="C7" s="74" t="s">
        <v>256</v>
      </c>
      <c r="D7" s="75" t="s">
        <v>257</v>
      </c>
      <c r="E7" s="5"/>
      <c r="F7" s="5"/>
      <c r="G7" s="43"/>
      <c r="H7" s="5"/>
      <c r="I7" s="5"/>
    </row>
    <row r="8" spans="1:9" x14ac:dyDescent="0.25">
      <c r="A8" s="74" t="s">
        <v>85</v>
      </c>
      <c r="B8" s="74" t="s">
        <v>171</v>
      </c>
      <c r="C8" s="74" t="s">
        <v>25</v>
      </c>
      <c r="D8" s="75">
        <v>2</v>
      </c>
      <c r="E8" s="5"/>
      <c r="F8" s="5"/>
      <c r="G8" s="43"/>
      <c r="H8" s="5"/>
      <c r="I8" s="5"/>
    </row>
    <row r="9" spans="1:9" x14ac:dyDescent="0.25">
      <c r="A9" s="74" t="s">
        <v>167</v>
      </c>
      <c r="B9" s="74" t="s">
        <v>172</v>
      </c>
      <c r="C9" s="74" t="s">
        <v>59</v>
      </c>
      <c r="D9" s="75">
        <v>40</v>
      </c>
      <c r="E9" s="5"/>
      <c r="F9" s="5"/>
      <c r="G9" s="43"/>
      <c r="H9" s="5"/>
      <c r="I9" s="5"/>
    </row>
    <row r="10" spans="1:9" x14ac:dyDescent="0.25">
      <c r="A10" s="74" t="s">
        <v>86</v>
      </c>
      <c r="B10" s="74" t="s">
        <v>173</v>
      </c>
      <c r="C10" s="74" t="s">
        <v>69</v>
      </c>
      <c r="D10" s="75" t="s">
        <v>258</v>
      </c>
      <c r="E10" s="5"/>
      <c r="F10" s="5"/>
      <c r="G10" s="43"/>
      <c r="H10" s="5"/>
      <c r="I10" s="5"/>
    </row>
    <row r="11" spans="1:9" x14ac:dyDescent="0.25">
      <c r="A11" s="74" t="s">
        <v>87</v>
      </c>
      <c r="B11" s="74" t="s">
        <v>174</v>
      </c>
      <c r="C11" s="74" t="s">
        <v>69</v>
      </c>
      <c r="D11" s="75" t="s">
        <v>258</v>
      </c>
      <c r="E11" s="5"/>
      <c r="F11" s="5"/>
      <c r="G11" s="43"/>
      <c r="H11" s="5"/>
      <c r="I11" s="5"/>
    </row>
    <row r="12" spans="1:9" x14ac:dyDescent="0.25">
      <c r="A12" s="74" t="s">
        <v>88</v>
      </c>
      <c r="B12" s="74" t="s">
        <v>175</v>
      </c>
      <c r="C12" s="74" t="s">
        <v>69</v>
      </c>
      <c r="D12" s="75" t="s">
        <v>258</v>
      </c>
      <c r="E12" s="5"/>
      <c r="F12" s="5"/>
      <c r="G12" s="43"/>
      <c r="H12" s="5"/>
      <c r="I12" s="5"/>
    </row>
    <row r="13" spans="1:9" x14ac:dyDescent="0.25">
      <c r="A13" s="74" t="s">
        <v>89</v>
      </c>
      <c r="B13" s="74" t="s">
        <v>176</v>
      </c>
      <c r="C13" s="74" t="s">
        <v>259</v>
      </c>
      <c r="D13" s="75">
        <v>20</v>
      </c>
      <c r="E13" s="5"/>
      <c r="F13" s="5"/>
      <c r="G13" s="43"/>
      <c r="H13" s="5"/>
      <c r="I13" s="5"/>
    </row>
    <row r="14" spans="1:9" x14ac:dyDescent="0.25">
      <c r="A14" s="74" t="s">
        <v>90</v>
      </c>
      <c r="B14" s="74" t="s">
        <v>177</v>
      </c>
      <c r="C14" s="74" t="s">
        <v>59</v>
      </c>
      <c r="D14" s="75">
        <v>50</v>
      </c>
      <c r="E14" s="5"/>
      <c r="F14" s="5"/>
      <c r="G14" s="43"/>
      <c r="H14" s="5"/>
      <c r="I14" s="5"/>
    </row>
    <row r="15" spans="1:9" x14ac:dyDescent="0.25">
      <c r="A15" s="74" t="s">
        <v>91</v>
      </c>
      <c r="B15" s="74" t="s">
        <v>178</v>
      </c>
      <c r="C15" s="74" t="s">
        <v>59</v>
      </c>
      <c r="D15" s="75">
        <v>1000</v>
      </c>
      <c r="E15" s="5"/>
      <c r="F15" s="5"/>
      <c r="G15" s="43"/>
      <c r="H15" s="5"/>
      <c r="I15" s="5"/>
    </row>
    <row r="16" spans="1:9" ht="87.9" customHeight="1" x14ac:dyDescent="0.25">
      <c r="A16" s="11" t="s">
        <v>60</v>
      </c>
      <c r="B16" s="95"/>
      <c r="C16" s="95"/>
      <c r="D16" s="95"/>
      <c r="E16" s="95"/>
      <c r="F16" s="95"/>
      <c r="G16" s="95"/>
      <c r="H16" s="95"/>
      <c r="I16" s="95"/>
    </row>
  </sheetData>
  <mergeCells count="3">
    <mergeCell ref="B2:C2"/>
    <mergeCell ref="F2:I2"/>
    <mergeCell ref="B16:I16"/>
  </mergeCells>
  <phoneticPr fontId="12" type="noConversion"/>
  <dataValidations count="3">
    <dataValidation type="list" allowBlank="1" showInputMessage="1" showErrorMessage="1" sqref="C7">
      <formula1>"uuid,string,integer,long,double,float,boolean,date,timestamp,binary,clob,String[],Object[],byte[]"</formula1>
    </dataValidation>
    <dataValidation type="list" allowBlank="1" showInputMessage="1" showErrorMessage="1" sqref="F4:F15">
      <formula1>"Y,N"</formula1>
    </dataValidation>
    <dataValidation type="list" allowBlank="1" showInputMessage="1" showErrorMessage="1" sqref="E4:E15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5"/>
  <sheetViews>
    <sheetView zoomScaleNormal="100" workbookViewId="0">
      <selection activeCell="A15" sqref="A15:XFD26"/>
    </sheetView>
  </sheetViews>
  <sheetFormatPr defaultColWidth="9" defaultRowHeight="15.6" x14ac:dyDescent="0.25"/>
  <cols>
    <col min="1" max="1" width="14" customWidth="1"/>
    <col min="2" max="2" width="25" customWidth="1"/>
    <col min="3" max="3" width="10.8984375" customWidth="1"/>
    <col min="4" max="4" width="8.3984375" style="66" customWidth="1"/>
    <col min="5" max="5" width="9.8984375" style="46" customWidth="1"/>
    <col min="6" max="6" width="9.3984375" style="46" customWidth="1"/>
    <col min="7" max="7" width="5.5" style="46" customWidth="1"/>
    <col min="8" max="8" width="19.3984375" customWidth="1"/>
    <col min="9" max="9" width="47" customWidth="1"/>
  </cols>
  <sheetData>
    <row r="1" spans="1:9" ht="30.9" customHeight="1" x14ac:dyDescent="0.25">
      <c r="A1" s="1" t="s">
        <v>9</v>
      </c>
      <c r="B1" s="2"/>
      <c r="C1" s="2"/>
      <c r="D1" s="72"/>
      <c r="E1" s="39"/>
      <c r="F1" s="39"/>
      <c r="G1" s="39"/>
      <c r="H1" s="2"/>
      <c r="I1" s="2"/>
    </row>
    <row r="2" spans="1:9" x14ac:dyDescent="0.25">
      <c r="A2" s="29" t="s">
        <v>10</v>
      </c>
      <c r="B2" s="93" t="s">
        <v>363</v>
      </c>
      <c r="C2" s="93"/>
      <c r="D2" s="40"/>
      <c r="E2" s="67" t="s">
        <v>11</v>
      </c>
      <c r="F2" s="94" t="s">
        <v>261</v>
      </c>
      <c r="G2" s="94"/>
      <c r="H2" s="94"/>
      <c r="I2" s="94"/>
    </row>
    <row r="3" spans="1:9" ht="24" x14ac:dyDescent="0.25">
      <c r="A3" s="19" t="s">
        <v>12</v>
      </c>
      <c r="B3" s="19" t="s">
        <v>13</v>
      </c>
      <c r="C3" s="19" t="s">
        <v>14</v>
      </c>
      <c r="D3" s="77" t="s">
        <v>15</v>
      </c>
      <c r="E3" s="41" t="s">
        <v>16</v>
      </c>
      <c r="F3" s="41" t="s">
        <v>17</v>
      </c>
      <c r="G3" s="41" t="s">
        <v>18</v>
      </c>
      <c r="H3" s="19" t="s">
        <v>19</v>
      </c>
      <c r="I3" s="19" t="s">
        <v>5</v>
      </c>
    </row>
    <row r="4" spans="1:9" x14ac:dyDescent="0.25">
      <c r="A4" s="78" t="s">
        <v>61</v>
      </c>
      <c r="B4" s="78" t="s">
        <v>122</v>
      </c>
      <c r="C4" s="78" t="s">
        <v>59</v>
      </c>
      <c r="D4" s="79">
        <v>40</v>
      </c>
      <c r="E4" s="42" t="s">
        <v>262</v>
      </c>
      <c r="F4" s="42" t="s">
        <v>21</v>
      </c>
      <c r="G4" s="42"/>
      <c r="H4" s="6"/>
      <c r="I4" s="6" t="s">
        <v>22</v>
      </c>
    </row>
    <row r="5" spans="1:9" x14ac:dyDescent="0.25">
      <c r="A5" s="78" t="s">
        <v>186</v>
      </c>
      <c r="B5" s="78" t="s">
        <v>179</v>
      </c>
      <c r="C5" s="78" t="s">
        <v>263</v>
      </c>
      <c r="D5" s="79">
        <v>3</v>
      </c>
      <c r="E5" s="42"/>
      <c r="F5" s="42"/>
      <c r="G5" s="42"/>
      <c r="H5" s="6"/>
      <c r="I5" s="5"/>
    </row>
    <row r="6" spans="1:9" x14ac:dyDescent="0.25">
      <c r="A6" s="78" t="s">
        <v>92</v>
      </c>
      <c r="B6" s="78" t="s">
        <v>180</v>
      </c>
      <c r="C6" s="78" t="s">
        <v>59</v>
      </c>
      <c r="D6" s="79">
        <v>100</v>
      </c>
      <c r="E6" s="42"/>
      <c r="F6" s="42"/>
      <c r="G6" s="42"/>
      <c r="H6" s="6"/>
      <c r="I6" s="5"/>
    </row>
    <row r="7" spans="1:9" x14ac:dyDescent="0.25">
      <c r="A7" s="78" t="s">
        <v>264</v>
      </c>
      <c r="B7" s="78" t="s">
        <v>172</v>
      </c>
      <c r="C7" s="78" t="s">
        <v>59</v>
      </c>
      <c r="D7" s="79">
        <v>40</v>
      </c>
      <c r="E7" s="42"/>
      <c r="F7" s="42"/>
      <c r="G7" s="42"/>
      <c r="H7" s="6"/>
      <c r="I7" s="5"/>
    </row>
    <row r="8" spans="1:9" x14ac:dyDescent="0.25">
      <c r="A8" s="78" t="s">
        <v>76</v>
      </c>
      <c r="B8" s="78" t="s">
        <v>153</v>
      </c>
      <c r="C8" s="78" t="s">
        <v>59</v>
      </c>
      <c r="D8" s="79">
        <v>50</v>
      </c>
      <c r="E8" s="42"/>
      <c r="F8" s="42"/>
      <c r="G8" s="42"/>
      <c r="H8" s="6"/>
      <c r="I8" s="5"/>
    </row>
    <row r="9" spans="1:9" x14ac:dyDescent="0.25">
      <c r="A9" s="78" t="s">
        <v>93</v>
      </c>
      <c r="B9" s="78" t="s">
        <v>181</v>
      </c>
      <c r="C9" s="78" t="s">
        <v>265</v>
      </c>
      <c r="D9" s="79" t="s">
        <v>72</v>
      </c>
      <c r="E9" s="42"/>
      <c r="F9" s="42"/>
      <c r="G9" s="42"/>
      <c r="H9" s="6"/>
      <c r="I9" s="5"/>
    </row>
    <row r="10" spans="1:9" ht="36" x14ac:dyDescent="0.25">
      <c r="A10" s="78" t="s">
        <v>94</v>
      </c>
      <c r="B10" s="78" t="s">
        <v>182</v>
      </c>
      <c r="C10" s="78" t="s">
        <v>266</v>
      </c>
      <c r="D10" s="79" t="s">
        <v>116</v>
      </c>
      <c r="E10" s="42"/>
      <c r="F10" s="42"/>
      <c r="G10" s="42"/>
      <c r="H10" s="6"/>
      <c r="I10" s="5"/>
    </row>
    <row r="11" spans="1:9" x14ac:dyDescent="0.25">
      <c r="A11" s="78" t="s">
        <v>95</v>
      </c>
      <c r="B11" s="78" t="s">
        <v>183</v>
      </c>
      <c r="C11" s="78" t="s">
        <v>266</v>
      </c>
      <c r="D11" s="79" t="s">
        <v>72</v>
      </c>
      <c r="E11" s="42"/>
      <c r="F11" s="42"/>
      <c r="G11" s="42"/>
      <c r="H11" s="6"/>
      <c r="I11" s="5"/>
    </row>
    <row r="12" spans="1:9" x14ac:dyDescent="0.25">
      <c r="A12" s="78" t="s">
        <v>96</v>
      </c>
      <c r="B12" s="78" t="s">
        <v>155</v>
      </c>
      <c r="C12" s="78" t="s">
        <v>59</v>
      </c>
      <c r="D12" s="79">
        <v>50</v>
      </c>
      <c r="E12" s="42"/>
      <c r="F12" s="42"/>
      <c r="G12" s="42"/>
      <c r="H12" s="6"/>
      <c r="I12" s="5"/>
    </row>
    <row r="13" spans="1:9" x14ac:dyDescent="0.25">
      <c r="A13" s="78" t="s">
        <v>97</v>
      </c>
      <c r="B13" s="78" t="s">
        <v>184</v>
      </c>
      <c r="C13" s="78" t="s">
        <v>59</v>
      </c>
      <c r="D13" s="79">
        <v>10</v>
      </c>
      <c r="E13" s="42"/>
      <c r="F13" s="42"/>
      <c r="G13" s="42"/>
      <c r="H13" s="6"/>
      <c r="I13" s="5"/>
    </row>
    <row r="14" spans="1:9" x14ac:dyDescent="0.25">
      <c r="A14" s="78" t="s">
        <v>98</v>
      </c>
      <c r="B14" s="78" t="s">
        <v>185</v>
      </c>
      <c r="C14" s="78" t="s">
        <v>59</v>
      </c>
      <c r="D14" s="79">
        <v>20</v>
      </c>
      <c r="E14" s="42"/>
      <c r="F14" s="42"/>
      <c r="G14" s="42"/>
      <c r="H14" s="6"/>
      <c r="I14" s="5"/>
    </row>
    <row r="15" spans="1:9" ht="87.9" customHeight="1" x14ac:dyDescent="0.25">
      <c r="A15" s="11" t="s">
        <v>60</v>
      </c>
      <c r="B15" s="95"/>
      <c r="C15" s="95"/>
      <c r="D15" s="95"/>
      <c r="E15" s="95"/>
      <c r="F15" s="95"/>
      <c r="G15" s="95"/>
      <c r="H15" s="95"/>
      <c r="I15" s="95"/>
    </row>
  </sheetData>
  <mergeCells count="3">
    <mergeCell ref="B2:C2"/>
    <mergeCell ref="F2:I2"/>
    <mergeCell ref="B15:I15"/>
  </mergeCells>
  <phoneticPr fontId="12" type="noConversion"/>
  <dataValidations count="2">
    <dataValidation type="list" allowBlank="1" showInputMessage="1" showErrorMessage="1" sqref="F4:F14">
      <formula1>"Y,N"</formula1>
    </dataValidation>
    <dataValidation type="list" allowBlank="1" showInputMessage="1" showErrorMessage="1" sqref="E4:E14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7"/>
  <sheetViews>
    <sheetView workbookViewId="0">
      <selection activeCell="H16" sqref="H16"/>
    </sheetView>
  </sheetViews>
  <sheetFormatPr defaultColWidth="9" defaultRowHeight="15.6" x14ac:dyDescent="0.25"/>
  <cols>
    <col min="1" max="1" width="14" customWidth="1"/>
    <col min="2" max="2" width="18" customWidth="1"/>
    <col min="3" max="3" width="10.8984375" customWidth="1"/>
    <col min="4" max="4" width="8.3984375" style="46" customWidth="1"/>
    <col min="5" max="5" width="9.8984375" style="46" customWidth="1"/>
    <col min="6" max="6" width="9.3984375" style="46" customWidth="1"/>
    <col min="7" max="7" width="5.5" style="46" customWidth="1"/>
    <col min="8" max="8" width="19.3984375" customWidth="1"/>
    <col min="9" max="9" width="47" customWidth="1"/>
  </cols>
  <sheetData>
    <row r="1" spans="1:9" ht="30.9" customHeight="1" x14ac:dyDescent="0.25">
      <c r="A1" s="1" t="s">
        <v>9</v>
      </c>
      <c r="B1" s="2"/>
      <c r="C1" s="2"/>
      <c r="D1" s="39"/>
      <c r="E1" s="39"/>
      <c r="F1" s="39"/>
      <c r="G1" s="39"/>
      <c r="H1" s="2"/>
      <c r="I1" s="2"/>
    </row>
    <row r="2" spans="1:9" x14ac:dyDescent="0.25">
      <c r="A2" s="34" t="s">
        <v>10</v>
      </c>
      <c r="B2" s="93" t="s">
        <v>364</v>
      </c>
      <c r="C2" s="93"/>
      <c r="D2" s="40"/>
      <c r="E2" s="67" t="s">
        <v>11</v>
      </c>
      <c r="F2" s="94" t="s">
        <v>267</v>
      </c>
      <c r="G2" s="94"/>
      <c r="H2" s="94"/>
      <c r="I2" s="94"/>
    </row>
    <row r="3" spans="1:9" ht="24" x14ac:dyDescent="0.25">
      <c r="A3" s="80" t="s">
        <v>12</v>
      </c>
      <c r="B3" s="19" t="s">
        <v>13</v>
      </c>
      <c r="C3" s="82" t="s">
        <v>14</v>
      </c>
      <c r="D3" s="41" t="s">
        <v>15</v>
      </c>
      <c r="E3" s="41" t="s">
        <v>16</v>
      </c>
      <c r="F3" s="41" t="s">
        <v>17</v>
      </c>
      <c r="G3" s="41" t="s">
        <v>18</v>
      </c>
      <c r="H3" s="19" t="s">
        <v>19</v>
      </c>
      <c r="I3" s="19" t="s">
        <v>5</v>
      </c>
    </row>
    <row r="4" spans="1:9" x14ac:dyDescent="0.25">
      <c r="A4" s="81" t="s">
        <v>61</v>
      </c>
      <c r="B4" s="81" t="s">
        <v>365</v>
      </c>
      <c r="C4" s="83" t="s">
        <v>45</v>
      </c>
      <c r="D4" s="42">
        <v>36</v>
      </c>
      <c r="E4" s="42" t="s">
        <v>268</v>
      </c>
      <c r="F4" s="42" t="s">
        <v>21</v>
      </c>
      <c r="G4" s="42"/>
      <c r="H4" s="6"/>
      <c r="I4" s="6" t="s">
        <v>22</v>
      </c>
    </row>
    <row r="5" spans="1:9" ht="36" x14ac:dyDescent="0.25">
      <c r="A5" s="81" t="s">
        <v>270</v>
      </c>
      <c r="B5" s="81" t="s">
        <v>269</v>
      </c>
      <c r="C5" s="83" t="s">
        <v>59</v>
      </c>
      <c r="D5" s="43">
        <v>10</v>
      </c>
      <c r="E5" s="42"/>
      <c r="F5" s="42"/>
      <c r="G5" s="42"/>
      <c r="H5" s="6"/>
      <c r="I5" s="5" t="s">
        <v>271</v>
      </c>
    </row>
    <row r="6" spans="1:9" x14ac:dyDescent="0.25">
      <c r="A6" s="81" t="s">
        <v>167</v>
      </c>
      <c r="B6" s="81" t="s">
        <v>172</v>
      </c>
      <c r="C6" s="83" t="s">
        <v>59</v>
      </c>
      <c r="D6" s="43">
        <v>40</v>
      </c>
      <c r="E6" s="42"/>
      <c r="F6" s="42"/>
      <c r="G6" s="42"/>
      <c r="H6" s="6"/>
      <c r="I6" s="5"/>
    </row>
    <row r="7" spans="1:9" ht="87.9" customHeight="1" x14ac:dyDescent="0.25">
      <c r="A7" s="11" t="s">
        <v>60</v>
      </c>
      <c r="B7" s="95"/>
      <c r="C7" s="95"/>
      <c r="D7" s="95"/>
      <c r="E7" s="95"/>
      <c r="F7" s="95"/>
      <c r="G7" s="95"/>
      <c r="H7" s="95"/>
      <c r="I7" s="95"/>
    </row>
  </sheetData>
  <mergeCells count="3">
    <mergeCell ref="B2:C2"/>
    <mergeCell ref="F2:I2"/>
    <mergeCell ref="B7:I7"/>
  </mergeCells>
  <phoneticPr fontId="11" type="noConversion"/>
  <dataValidations count="3">
    <dataValidation type="list" allowBlank="1" showInputMessage="1" showErrorMessage="1" sqref="F4:F6">
      <formula1>"Y,N"</formula1>
    </dataValidation>
    <dataValidation type="list" allowBlank="1" showInputMessage="1" showErrorMessage="1" sqref="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31"/>
  <sheetViews>
    <sheetView workbookViewId="0">
      <selection activeCell="B2" sqref="B2:C2"/>
    </sheetView>
  </sheetViews>
  <sheetFormatPr defaultColWidth="9" defaultRowHeight="15.6" x14ac:dyDescent="0.25"/>
  <cols>
    <col min="1" max="1" width="14" customWidth="1"/>
    <col min="2" max="2" width="19" bestFit="1" customWidth="1"/>
    <col min="3" max="3" width="10.8984375" customWidth="1"/>
    <col min="4" max="4" width="8.3984375" style="46" customWidth="1"/>
    <col min="5" max="5" width="9.8984375" style="46" customWidth="1"/>
    <col min="6" max="6" width="9.3984375" style="46" customWidth="1"/>
    <col min="7" max="7" width="5.5" style="46" customWidth="1"/>
    <col min="8" max="8" width="19.3984375" customWidth="1"/>
    <col min="9" max="9" width="47" customWidth="1"/>
  </cols>
  <sheetData>
    <row r="1" spans="1:9" ht="30.9" customHeight="1" x14ac:dyDescent="0.25">
      <c r="A1" s="1" t="s">
        <v>9</v>
      </c>
      <c r="B1" s="2"/>
      <c r="C1" s="2"/>
      <c r="D1" s="39"/>
      <c r="E1" s="39"/>
      <c r="F1" s="39"/>
      <c r="G1" s="39"/>
      <c r="H1" s="2"/>
      <c r="I1" s="2"/>
    </row>
    <row r="2" spans="1:9" x14ac:dyDescent="0.25">
      <c r="A2" s="34" t="s">
        <v>10</v>
      </c>
      <c r="B2" s="93" t="s">
        <v>366</v>
      </c>
      <c r="C2" s="93"/>
      <c r="D2" s="40"/>
      <c r="E2" s="67" t="s">
        <v>11</v>
      </c>
      <c r="F2" s="94" t="s">
        <v>272</v>
      </c>
      <c r="G2" s="94"/>
      <c r="H2" s="94"/>
      <c r="I2" s="94"/>
    </row>
    <row r="3" spans="1:9" ht="24" x14ac:dyDescent="0.25">
      <c r="A3" s="19" t="s">
        <v>12</v>
      </c>
      <c r="B3" s="19" t="s">
        <v>13</v>
      </c>
      <c r="C3" s="19" t="s">
        <v>14</v>
      </c>
      <c r="D3" s="41" t="s">
        <v>15</v>
      </c>
      <c r="E3" s="41" t="s">
        <v>16</v>
      </c>
      <c r="F3" s="41" t="s">
        <v>17</v>
      </c>
      <c r="G3" s="41" t="s">
        <v>18</v>
      </c>
      <c r="H3" s="19" t="s">
        <v>19</v>
      </c>
      <c r="I3" s="19" t="s">
        <v>5</v>
      </c>
    </row>
    <row r="4" spans="1:9" x14ac:dyDescent="0.25">
      <c r="A4" s="81" t="s">
        <v>63</v>
      </c>
      <c r="B4" s="81" t="s">
        <v>274</v>
      </c>
      <c r="C4" s="81" t="s">
        <v>59</v>
      </c>
      <c r="D4" s="84">
        <v>20</v>
      </c>
      <c r="E4" s="42" t="s">
        <v>273</v>
      </c>
      <c r="F4" s="42" t="s">
        <v>21</v>
      </c>
      <c r="G4" s="42"/>
      <c r="H4" s="6"/>
      <c r="I4" s="6" t="s">
        <v>22</v>
      </c>
    </row>
    <row r="5" spans="1:9" x14ac:dyDescent="0.25">
      <c r="A5" s="81" t="s">
        <v>295</v>
      </c>
      <c r="B5" s="81" t="s">
        <v>275</v>
      </c>
      <c r="C5" s="81" t="s">
        <v>59</v>
      </c>
      <c r="D5" s="84">
        <v>20</v>
      </c>
      <c r="E5" s="42"/>
      <c r="F5" s="42"/>
      <c r="G5" s="42"/>
      <c r="H5" s="6"/>
      <c r="I5" s="5"/>
    </row>
    <row r="6" spans="1:9" x14ac:dyDescent="0.25">
      <c r="A6" s="81" t="s">
        <v>296</v>
      </c>
      <c r="B6" s="81" t="s">
        <v>276</v>
      </c>
      <c r="C6" s="81" t="s">
        <v>355</v>
      </c>
      <c r="D6" s="84">
        <v>20</v>
      </c>
      <c r="E6" s="42"/>
      <c r="F6" s="42"/>
      <c r="G6" s="42"/>
      <c r="H6" s="6"/>
      <c r="I6" s="5"/>
    </row>
    <row r="7" spans="1:9" x14ac:dyDescent="0.25">
      <c r="A7" s="81" t="s">
        <v>64</v>
      </c>
      <c r="B7" s="81" t="s">
        <v>162</v>
      </c>
      <c r="C7" s="81" t="s">
        <v>25</v>
      </c>
      <c r="D7" s="84">
        <v>3</v>
      </c>
      <c r="E7" s="42"/>
      <c r="F7" s="42"/>
      <c r="G7" s="42"/>
      <c r="H7" s="6"/>
      <c r="I7" s="5"/>
    </row>
    <row r="8" spans="1:9" x14ac:dyDescent="0.25">
      <c r="A8" s="81" t="s">
        <v>297</v>
      </c>
      <c r="B8" s="81" t="s">
        <v>277</v>
      </c>
      <c r="C8" s="81" t="s">
        <v>59</v>
      </c>
      <c r="D8" s="84">
        <v>50</v>
      </c>
      <c r="E8" s="42"/>
      <c r="F8" s="42"/>
      <c r="G8" s="42"/>
      <c r="H8" s="6"/>
      <c r="I8" s="5"/>
    </row>
    <row r="9" spans="1:9" x14ac:dyDescent="0.25">
      <c r="A9" s="81" t="s">
        <v>298</v>
      </c>
      <c r="B9" s="81" t="s">
        <v>278</v>
      </c>
      <c r="C9" s="81" t="s">
        <v>59</v>
      </c>
      <c r="D9" s="84">
        <v>50</v>
      </c>
      <c r="E9" s="42"/>
      <c r="F9" s="42"/>
      <c r="G9" s="42"/>
      <c r="H9" s="6"/>
      <c r="I9" s="5"/>
    </row>
    <row r="10" spans="1:9" x14ac:dyDescent="0.25">
      <c r="A10" s="81" t="s">
        <v>299</v>
      </c>
      <c r="B10" s="81" t="s">
        <v>279</v>
      </c>
      <c r="C10" s="81" t="s">
        <v>59</v>
      </c>
      <c r="D10" s="84">
        <v>50</v>
      </c>
      <c r="E10" s="42"/>
      <c r="F10" s="42"/>
      <c r="G10" s="42"/>
      <c r="H10" s="6"/>
      <c r="I10" s="5"/>
    </row>
    <row r="11" spans="1:9" x14ac:dyDescent="0.25">
      <c r="A11" s="81" t="s">
        <v>300</v>
      </c>
      <c r="B11" s="81" t="s">
        <v>280</v>
      </c>
      <c r="C11" s="81" t="s">
        <v>59</v>
      </c>
      <c r="D11" s="84">
        <v>1000</v>
      </c>
      <c r="E11" s="42"/>
      <c r="F11" s="42"/>
      <c r="G11" s="42"/>
      <c r="H11" s="6"/>
      <c r="I11" s="5"/>
    </row>
    <row r="12" spans="1:9" x14ac:dyDescent="0.25">
      <c r="A12" s="81" t="s">
        <v>301</v>
      </c>
      <c r="B12" s="81" t="s">
        <v>281</v>
      </c>
      <c r="C12" s="81" t="s">
        <v>59</v>
      </c>
      <c r="D12" s="84">
        <v>50</v>
      </c>
      <c r="E12" s="42"/>
      <c r="F12" s="42"/>
      <c r="G12" s="42"/>
      <c r="H12" s="6"/>
      <c r="I12" s="5"/>
    </row>
    <row r="13" spans="1:9" x14ac:dyDescent="0.25">
      <c r="A13" s="81" t="s">
        <v>61</v>
      </c>
      <c r="B13" s="81" t="s">
        <v>62</v>
      </c>
      <c r="C13" s="81" t="s">
        <v>59</v>
      </c>
      <c r="D13" s="84">
        <v>50</v>
      </c>
      <c r="E13" s="42"/>
      <c r="F13" s="42"/>
      <c r="G13" s="42"/>
      <c r="H13" s="6"/>
      <c r="I13" s="5"/>
    </row>
    <row r="14" spans="1:9" x14ac:dyDescent="0.25">
      <c r="A14" s="81" t="s">
        <v>302</v>
      </c>
      <c r="B14" s="81" t="s">
        <v>136</v>
      </c>
      <c r="C14" s="81" t="s">
        <v>59</v>
      </c>
      <c r="D14" s="84">
        <v>50</v>
      </c>
      <c r="E14" s="42"/>
      <c r="F14" s="42"/>
      <c r="G14" s="42"/>
      <c r="H14" s="6"/>
      <c r="I14" s="5"/>
    </row>
    <row r="15" spans="1:9" x14ac:dyDescent="0.25">
      <c r="A15" s="81" t="s">
        <v>65</v>
      </c>
      <c r="B15" s="81" t="s">
        <v>156</v>
      </c>
      <c r="C15" s="81" t="s">
        <v>59</v>
      </c>
      <c r="D15" s="84">
        <v>50</v>
      </c>
      <c r="E15" s="42"/>
      <c r="F15" s="42"/>
      <c r="G15" s="42"/>
      <c r="H15" s="6"/>
      <c r="I15" s="5"/>
    </row>
    <row r="16" spans="1:9" x14ac:dyDescent="0.25">
      <c r="A16" s="81" t="s">
        <v>303</v>
      </c>
      <c r="B16" s="81" t="s">
        <v>282</v>
      </c>
      <c r="C16" s="81" t="s">
        <v>59</v>
      </c>
      <c r="D16" s="84">
        <v>50</v>
      </c>
      <c r="E16" s="42"/>
      <c r="F16" s="42"/>
      <c r="G16" s="42"/>
      <c r="H16" s="6"/>
      <c r="I16" s="5"/>
    </row>
    <row r="17" spans="1:9" x14ac:dyDescent="0.25">
      <c r="A17" s="81" t="s">
        <v>67</v>
      </c>
      <c r="B17" s="81" t="s">
        <v>143</v>
      </c>
      <c r="C17" s="81" t="s">
        <v>59</v>
      </c>
      <c r="D17" s="84">
        <v>50</v>
      </c>
      <c r="E17" s="42"/>
      <c r="F17" s="42"/>
      <c r="G17" s="42"/>
      <c r="H17" s="6"/>
      <c r="I17" s="5"/>
    </row>
    <row r="18" spans="1:9" x14ac:dyDescent="0.25">
      <c r="A18" s="81" t="s">
        <v>304</v>
      </c>
      <c r="B18" s="81" t="s">
        <v>283</v>
      </c>
      <c r="C18" s="81" t="s">
        <v>59</v>
      </c>
      <c r="D18" s="84">
        <v>50</v>
      </c>
      <c r="E18" s="42"/>
      <c r="F18" s="42"/>
      <c r="G18" s="42"/>
      <c r="H18" s="6"/>
      <c r="I18" s="5"/>
    </row>
    <row r="19" spans="1:9" x14ac:dyDescent="0.25">
      <c r="A19" s="81" t="s">
        <v>305</v>
      </c>
      <c r="B19" s="81" t="s">
        <v>284</v>
      </c>
      <c r="C19" s="81" t="s">
        <v>59</v>
      </c>
      <c r="D19" s="84">
        <v>50</v>
      </c>
      <c r="E19" s="42"/>
      <c r="F19" s="42"/>
      <c r="G19" s="42"/>
      <c r="H19" s="6"/>
      <c r="I19" s="5"/>
    </row>
    <row r="20" spans="1:9" x14ac:dyDescent="0.25">
      <c r="A20" s="81" t="s">
        <v>306</v>
      </c>
      <c r="B20" s="81" t="s">
        <v>153</v>
      </c>
      <c r="C20" s="81" t="s">
        <v>59</v>
      </c>
      <c r="D20" s="84">
        <v>50</v>
      </c>
      <c r="E20" s="42"/>
      <c r="F20" s="42"/>
      <c r="G20" s="42"/>
      <c r="H20" s="6"/>
      <c r="I20" s="5"/>
    </row>
    <row r="21" spans="1:9" x14ac:dyDescent="0.25">
      <c r="A21" s="81" t="s">
        <v>307</v>
      </c>
      <c r="B21" s="81" t="s">
        <v>285</v>
      </c>
      <c r="C21" s="81" t="s">
        <v>128</v>
      </c>
      <c r="D21" s="84"/>
      <c r="E21" s="42"/>
      <c r="F21" s="42"/>
      <c r="G21" s="42"/>
      <c r="H21" s="6"/>
      <c r="I21" s="5"/>
    </row>
    <row r="22" spans="1:9" ht="24" x14ac:dyDescent="0.25">
      <c r="A22" s="81" t="s">
        <v>308</v>
      </c>
      <c r="B22" s="81" t="s">
        <v>286</v>
      </c>
      <c r="C22" s="81" t="s">
        <v>128</v>
      </c>
      <c r="D22" s="84"/>
      <c r="E22" s="42"/>
      <c r="F22" s="42"/>
      <c r="G22" s="42"/>
      <c r="H22" s="6"/>
      <c r="I22" s="5"/>
    </row>
    <row r="23" spans="1:9" ht="36" x14ac:dyDescent="0.25">
      <c r="A23" s="81" t="s">
        <v>309</v>
      </c>
      <c r="B23" s="81" t="s">
        <v>287</v>
      </c>
      <c r="C23" s="81" t="s">
        <v>356</v>
      </c>
      <c r="D23" s="84">
        <v>20</v>
      </c>
      <c r="E23" s="42"/>
      <c r="F23" s="42"/>
      <c r="G23" s="42"/>
      <c r="H23" s="6"/>
      <c r="I23" s="5"/>
    </row>
    <row r="24" spans="1:9" x14ac:dyDescent="0.25">
      <c r="A24" s="81" t="s">
        <v>315</v>
      </c>
      <c r="B24" s="81" t="s">
        <v>288</v>
      </c>
      <c r="C24" s="81" t="s">
        <v>25</v>
      </c>
      <c r="D24" s="84">
        <v>4</v>
      </c>
      <c r="E24" s="42"/>
      <c r="F24" s="42"/>
      <c r="G24" s="42"/>
      <c r="H24" s="6"/>
      <c r="I24" s="5" t="s">
        <v>316</v>
      </c>
    </row>
    <row r="25" spans="1:9" x14ac:dyDescent="0.25">
      <c r="A25" s="81" t="s">
        <v>310</v>
      </c>
      <c r="B25" s="81" t="s">
        <v>289</v>
      </c>
      <c r="C25" s="81" t="s">
        <v>59</v>
      </c>
      <c r="D25" s="84">
        <v>50</v>
      </c>
      <c r="E25" s="42"/>
      <c r="F25" s="42"/>
      <c r="G25" s="42"/>
      <c r="H25" s="6"/>
      <c r="I25" s="5"/>
    </row>
    <row r="26" spans="1:9" x14ac:dyDescent="0.25">
      <c r="A26" s="81" t="s">
        <v>311</v>
      </c>
      <c r="B26" s="81" t="s">
        <v>290</v>
      </c>
      <c r="C26" s="81" t="s">
        <v>59</v>
      </c>
      <c r="D26" s="84">
        <v>50</v>
      </c>
      <c r="E26" s="42"/>
      <c r="F26" s="42"/>
      <c r="G26" s="42"/>
      <c r="H26" s="6"/>
      <c r="I26" s="5"/>
    </row>
    <row r="27" spans="1:9" x14ac:dyDescent="0.25">
      <c r="A27" s="81" t="s">
        <v>312</v>
      </c>
      <c r="B27" s="81" t="s">
        <v>291</v>
      </c>
      <c r="C27" s="81" t="s">
        <v>25</v>
      </c>
      <c r="D27" s="84">
        <v>11</v>
      </c>
      <c r="E27" s="42"/>
      <c r="F27" s="42"/>
      <c r="G27" s="42"/>
      <c r="H27" s="6"/>
      <c r="I27" s="5"/>
    </row>
    <row r="28" spans="1:9" x14ac:dyDescent="0.25">
      <c r="A28" s="81" t="s">
        <v>313</v>
      </c>
      <c r="B28" s="81" t="s">
        <v>292</v>
      </c>
      <c r="C28" s="81" t="s">
        <v>59</v>
      </c>
      <c r="D28" s="84">
        <v>10</v>
      </c>
      <c r="E28" s="42"/>
      <c r="F28" s="42"/>
      <c r="G28" s="42"/>
      <c r="H28" s="6"/>
      <c r="I28" s="5"/>
    </row>
    <row r="29" spans="1:9" x14ac:dyDescent="0.25">
      <c r="A29" s="81" t="s">
        <v>314</v>
      </c>
      <c r="B29" s="81" t="s">
        <v>293</v>
      </c>
      <c r="C29" s="81" t="s">
        <v>59</v>
      </c>
      <c r="D29" s="84">
        <v>50</v>
      </c>
      <c r="E29" s="42"/>
      <c r="F29" s="42"/>
      <c r="G29" s="42"/>
      <c r="H29" s="6"/>
      <c r="I29" s="5"/>
    </row>
    <row r="30" spans="1:9" x14ac:dyDescent="0.25">
      <c r="A30" s="81" t="s">
        <v>301</v>
      </c>
      <c r="B30" s="81" t="s">
        <v>294</v>
      </c>
      <c r="C30" s="81" t="s">
        <v>59</v>
      </c>
      <c r="D30" s="84">
        <v>50</v>
      </c>
      <c r="E30" s="42"/>
      <c r="F30" s="42"/>
      <c r="G30" s="42"/>
      <c r="H30" s="6"/>
      <c r="I30" s="5"/>
    </row>
    <row r="31" spans="1:9" ht="87.9" customHeight="1" x14ac:dyDescent="0.25">
      <c r="A31" s="11" t="s">
        <v>60</v>
      </c>
      <c r="B31" s="95"/>
      <c r="C31" s="95"/>
      <c r="D31" s="95"/>
      <c r="E31" s="95"/>
      <c r="F31" s="95"/>
      <c r="G31" s="95"/>
      <c r="H31" s="95"/>
      <c r="I31" s="95"/>
    </row>
  </sheetData>
  <mergeCells count="3">
    <mergeCell ref="B2:C2"/>
    <mergeCell ref="F2:I2"/>
    <mergeCell ref="B31:I31"/>
  </mergeCells>
  <phoneticPr fontId="11" type="noConversion"/>
  <dataValidations count="2">
    <dataValidation type="list" allowBlank="1" showInputMessage="1" showErrorMessage="1" sqref="F4:F30">
      <formula1>"Y,N"</formula1>
    </dataValidation>
    <dataValidation type="list" allowBlank="1" showInputMessage="1" showErrorMessage="1" sqref="E4:E3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20"/>
  <sheetViews>
    <sheetView tabSelected="1" workbookViewId="0">
      <selection activeCell="A20" sqref="A20:XFD31"/>
    </sheetView>
  </sheetViews>
  <sheetFormatPr defaultColWidth="9" defaultRowHeight="15.6" x14ac:dyDescent="0.25"/>
  <cols>
    <col min="1" max="1" width="14" customWidth="1"/>
    <col min="2" max="2" width="25" customWidth="1"/>
    <col min="3" max="3" width="10.8984375" customWidth="1"/>
    <col min="4" max="4" width="8.3984375" style="46" customWidth="1"/>
    <col min="5" max="5" width="9.8984375" style="46" customWidth="1"/>
    <col min="6" max="6" width="9.3984375" style="46" customWidth="1"/>
    <col min="7" max="7" width="5.5" style="46" customWidth="1"/>
    <col min="8" max="8" width="19.3984375" customWidth="1"/>
    <col min="9" max="9" width="47" customWidth="1"/>
  </cols>
  <sheetData>
    <row r="1" spans="1:9" ht="30.9" customHeight="1" x14ac:dyDescent="0.25">
      <c r="A1" s="16" t="s">
        <v>9</v>
      </c>
      <c r="B1" s="17"/>
      <c r="C1" s="17"/>
      <c r="D1" s="59"/>
      <c r="E1" s="59"/>
      <c r="F1" s="59"/>
      <c r="G1" s="59"/>
      <c r="H1" s="17"/>
      <c r="I1" s="17"/>
    </row>
    <row r="2" spans="1:9" x14ac:dyDescent="0.25">
      <c r="A2" s="34" t="s">
        <v>10</v>
      </c>
      <c r="B2" s="93" t="s">
        <v>367</v>
      </c>
      <c r="C2" s="93"/>
      <c r="D2" s="40"/>
      <c r="E2" s="67" t="s">
        <v>11</v>
      </c>
      <c r="F2" s="94" t="s">
        <v>317</v>
      </c>
      <c r="G2" s="94"/>
      <c r="H2" s="94"/>
      <c r="I2" s="94"/>
    </row>
    <row r="3" spans="1:9" ht="24" x14ac:dyDescent="0.25">
      <c r="A3" s="19" t="s">
        <v>12</v>
      </c>
      <c r="B3" s="19" t="s">
        <v>13</v>
      </c>
      <c r="C3" s="19" t="s">
        <v>14</v>
      </c>
      <c r="D3" s="41" t="s">
        <v>15</v>
      </c>
      <c r="E3" s="41" t="s">
        <v>16</v>
      </c>
      <c r="F3" s="41" t="s">
        <v>17</v>
      </c>
      <c r="G3" s="41" t="s">
        <v>18</v>
      </c>
      <c r="H3" s="19" t="s">
        <v>19</v>
      </c>
      <c r="I3" s="19" t="s">
        <v>5</v>
      </c>
    </row>
    <row r="4" spans="1:9" x14ac:dyDescent="0.25">
      <c r="A4" s="85" t="s">
        <v>61</v>
      </c>
      <c r="B4" s="86" t="s">
        <v>62</v>
      </c>
      <c r="C4" s="87" t="s">
        <v>348</v>
      </c>
      <c r="D4" s="88">
        <v>50</v>
      </c>
      <c r="E4" s="43" t="s">
        <v>268</v>
      </c>
      <c r="F4" s="43" t="s">
        <v>21</v>
      </c>
      <c r="G4" s="43"/>
      <c r="H4" s="5"/>
      <c r="I4" s="5" t="s">
        <v>22</v>
      </c>
    </row>
    <row r="5" spans="1:9" x14ac:dyDescent="0.25">
      <c r="A5" s="85" t="s">
        <v>332</v>
      </c>
      <c r="B5" s="87" t="s">
        <v>318</v>
      </c>
      <c r="C5" s="87" t="s">
        <v>59</v>
      </c>
      <c r="D5" s="88">
        <v>50</v>
      </c>
      <c r="E5" s="43"/>
      <c r="F5" s="43"/>
      <c r="G5" s="43"/>
      <c r="H5" s="5"/>
      <c r="I5" s="5"/>
    </row>
    <row r="6" spans="1:9" x14ac:dyDescent="0.25">
      <c r="A6" s="85" t="s">
        <v>333</v>
      </c>
      <c r="B6" s="87" t="s">
        <v>274</v>
      </c>
      <c r="C6" s="87" t="s">
        <v>59</v>
      </c>
      <c r="D6" s="88">
        <v>50</v>
      </c>
      <c r="E6" s="43"/>
      <c r="F6" s="43"/>
      <c r="G6" s="43"/>
      <c r="H6" s="5"/>
      <c r="I6" s="5"/>
    </row>
    <row r="7" spans="1:9" x14ac:dyDescent="0.25">
      <c r="A7" s="85" t="s">
        <v>334</v>
      </c>
      <c r="B7" s="87" t="s">
        <v>319</v>
      </c>
      <c r="C7" s="87" t="s">
        <v>59</v>
      </c>
      <c r="D7" s="88">
        <v>50</v>
      </c>
      <c r="E7" s="43"/>
      <c r="F7" s="43"/>
      <c r="G7" s="43"/>
      <c r="H7" s="5"/>
      <c r="I7" s="5"/>
    </row>
    <row r="8" spans="1:9" x14ac:dyDescent="0.25">
      <c r="A8" s="85" t="s">
        <v>335</v>
      </c>
      <c r="B8" s="87" t="s">
        <v>320</v>
      </c>
      <c r="C8" s="87" t="s">
        <v>25</v>
      </c>
      <c r="D8" s="88">
        <v>4</v>
      </c>
      <c r="E8" s="43"/>
      <c r="F8" s="43"/>
      <c r="G8" s="43"/>
      <c r="H8" s="5"/>
      <c r="I8" s="5"/>
    </row>
    <row r="9" spans="1:9" x14ac:dyDescent="0.25">
      <c r="A9" s="85" t="s">
        <v>336</v>
      </c>
      <c r="B9" s="87" t="s">
        <v>321</v>
      </c>
      <c r="C9" s="87" t="s">
        <v>59</v>
      </c>
      <c r="D9" s="88">
        <v>50</v>
      </c>
      <c r="E9" s="43"/>
      <c r="F9" s="43"/>
      <c r="G9" s="43"/>
      <c r="H9" s="5"/>
      <c r="I9" s="5"/>
    </row>
    <row r="10" spans="1:9" x14ac:dyDescent="0.25">
      <c r="A10" s="85" t="s">
        <v>337</v>
      </c>
      <c r="B10" s="87" t="s">
        <v>322</v>
      </c>
      <c r="C10" s="87" t="s">
        <v>59</v>
      </c>
      <c r="D10" s="88">
        <v>255</v>
      </c>
      <c r="E10" s="43"/>
      <c r="F10" s="43"/>
      <c r="G10" s="43"/>
      <c r="H10" s="5"/>
      <c r="I10" s="5"/>
    </row>
    <row r="11" spans="1:9" x14ac:dyDescent="0.25">
      <c r="A11" s="85" t="s">
        <v>338</v>
      </c>
      <c r="B11" s="87" t="s">
        <v>323</v>
      </c>
      <c r="C11" s="87" t="s">
        <v>347</v>
      </c>
      <c r="D11" s="88">
        <v>20</v>
      </c>
      <c r="E11" s="43"/>
      <c r="F11" s="43"/>
      <c r="G11" s="43"/>
      <c r="H11" s="5"/>
      <c r="I11" s="5"/>
    </row>
    <row r="12" spans="1:9" ht="28.8" x14ac:dyDescent="0.25">
      <c r="A12" s="85" t="s">
        <v>339</v>
      </c>
      <c r="B12" s="87" t="s">
        <v>324</v>
      </c>
      <c r="C12" s="87" t="s">
        <v>59</v>
      </c>
      <c r="D12" s="88">
        <v>10</v>
      </c>
      <c r="E12" s="43"/>
      <c r="F12" s="43"/>
      <c r="G12" s="43"/>
      <c r="H12" s="5"/>
      <c r="I12" s="5"/>
    </row>
    <row r="13" spans="1:9" ht="28.8" x14ac:dyDescent="0.25">
      <c r="A13" s="85" t="s">
        <v>340</v>
      </c>
      <c r="B13" s="87" t="s">
        <v>325</v>
      </c>
      <c r="C13" s="87" t="s">
        <v>59</v>
      </c>
      <c r="D13" s="88">
        <v>3</v>
      </c>
      <c r="E13" s="43"/>
      <c r="F13" s="43"/>
      <c r="G13" s="43"/>
      <c r="H13" s="5"/>
      <c r="I13" s="5"/>
    </row>
    <row r="14" spans="1:9" ht="43.2" x14ac:dyDescent="0.25">
      <c r="A14" s="85" t="s">
        <v>341</v>
      </c>
      <c r="B14" s="87" t="s">
        <v>326</v>
      </c>
      <c r="C14" s="87" t="s">
        <v>25</v>
      </c>
      <c r="D14" s="88">
        <v>4</v>
      </c>
      <c r="E14" s="43"/>
      <c r="F14" s="43"/>
      <c r="G14" s="43"/>
      <c r="H14" s="5"/>
      <c r="I14" s="5"/>
    </row>
    <row r="15" spans="1:9" x14ac:dyDescent="0.25">
      <c r="A15" s="85" t="s">
        <v>342</v>
      </c>
      <c r="B15" s="87" t="s">
        <v>327</v>
      </c>
      <c r="C15" s="87" t="s">
        <v>25</v>
      </c>
      <c r="D15" s="88">
        <v>5</v>
      </c>
      <c r="E15" s="43"/>
      <c r="F15" s="43"/>
      <c r="G15" s="43"/>
      <c r="H15" s="5"/>
      <c r="I15" s="5"/>
    </row>
    <row r="16" spans="1:9" x14ac:dyDescent="0.25">
      <c r="A16" s="85" t="s">
        <v>343</v>
      </c>
      <c r="B16" s="87" t="s">
        <v>328</v>
      </c>
      <c r="C16" s="87" t="s">
        <v>59</v>
      </c>
      <c r="D16" s="88">
        <v>500</v>
      </c>
      <c r="E16" s="43"/>
      <c r="F16" s="43"/>
      <c r="G16" s="43"/>
      <c r="H16" s="5"/>
      <c r="I16" s="5"/>
    </row>
    <row r="17" spans="1:9" x14ac:dyDescent="0.25">
      <c r="A17" s="85" t="s">
        <v>344</v>
      </c>
      <c r="B17" s="87" t="s">
        <v>329</v>
      </c>
      <c r="C17" s="87" t="s">
        <v>25</v>
      </c>
      <c r="D17" s="88">
        <v>11</v>
      </c>
      <c r="E17" s="43"/>
      <c r="F17" s="43"/>
      <c r="G17" s="43"/>
      <c r="H17" s="5"/>
      <c r="I17" s="5"/>
    </row>
    <row r="18" spans="1:9" x14ac:dyDescent="0.25">
      <c r="A18" s="85" t="s">
        <v>345</v>
      </c>
      <c r="B18" s="87" t="s">
        <v>330</v>
      </c>
      <c r="C18" s="87" t="s">
        <v>25</v>
      </c>
      <c r="D18" s="88">
        <v>11</v>
      </c>
      <c r="E18" s="43"/>
      <c r="F18" s="43"/>
      <c r="G18" s="43"/>
      <c r="H18" s="5"/>
      <c r="I18" s="5"/>
    </row>
    <row r="19" spans="1:9" x14ac:dyDescent="0.25">
      <c r="A19" s="85" t="s">
        <v>346</v>
      </c>
      <c r="B19" s="87" t="s">
        <v>331</v>
      </c>
      <c r="C19" s="87" t="s">
        <v>59</v>
      </c>
      <c r="D19" s="88">
        <v>1000</v>
      </c>
      <c r="E19" s="43"/>
      <c r="F19" s="43"/>
      <c r="G19" s="43"/>
      <c r="H19" s="5"/>
      <c r="I19" s="5"/>
    </row>
    <row r="20" spans="1:9" ht="87.9" customHeight="1" x14ac:dyDescent="0.25">
      <c r="A20" s="11" t="s">
        <v>60</v>
      </c>
      <c r="B20" s="95"/>
      <c r="C20" s="95"/>
      <c r="D20" s="95"/>
      <c r="E20" s="95"/>
      <c r="F20" s="95"/>
      <c r="G20" s="95"/>
      <c r="H20" s="95"/>
      <c r="I20" s="95"/>
    </row>
  </sheetData>
  <mergeCells count="3">
    <mergeCell ref="B2:C2"/>
    <mergeCell ref="F2:I2"/>
    <mergeCell ref="B20:I20"/>
  </mergeCells>
  <phoneticPr fontId="11" type="noConversion"/>
  <dataValidations count="2">
    <dataValidation type="list" allowBlank="1" showInputMessage="1" showErrorMessage="1" sqref="F4:F19">
      <formula1>"Y,N"</formula1>
    </dataValidation>
    <dataValidation type="list" allowBlank="1" showInputMessage="1" showErrorMessage="1" sqref="E4:E19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目录</vt:lpstr>
      <vt:lpstr>Template</vt:lpstr>
      <vt:lpstr>BIZ_ADVISORYCASE</vt:lpstr>
      <vt:lpstr>BIZ_AIDCASE</vt:lpstr>
      <vt:lpstr>BIZ_CASEHUMAN</vt:lpstr>
      <vt:lpstr>BIZ_AIDCASEAPPLYITEMTYPE</vt:lpstr>
      <vt:lpstr>BIZ_CASEHUMANECONOMIC</vt:lpstr>
      <vt:lpstr>BIZ_CASEHUMANFAMILYANDECONOMIC</vt:lpstr>
      <vt:lpstr>BIZ_CASEHUMANCROWDTYPE</vt:lpstr>
      <vt:lpstr>SYS_USER</vt:lpstr>
      <vt:lpstr>SYS_DEPT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wangbao</dc:creator>
  <cp:lastModifiedBy>wlbrs</cp:lastModifiedBy>
  <dcterms:created xsi:type="dcterms:W3CDTF">2015-05-25T01:54:00Z</dcterms:created>
  <dcterms:modified xsi:type="dcterms:W3CDTF">2018-05-05T06:28:22Z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2052-10.1.0.7106</vt:lpwstr>
  </property>
  <property fmtid="{D5CDD505-2E9C-101B-9397-08002B2CF9AE}" pid="3" name="KSOReadingLayout">
    <vt:bool>false</vt:bool>
  </property>
</Properties>
</file>