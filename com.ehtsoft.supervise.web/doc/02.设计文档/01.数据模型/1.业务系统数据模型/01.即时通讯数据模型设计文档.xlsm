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9300" tabRatio="973" activeTab="6"/>
  </bookViews>
  <sheets>
    <sheet name="目录" sheetId="1" r:id="rId1"/>
    <sheet name="Template" sheetId="2" r:id="rId2"/>
    <sheet name="IM_USERINFO" sheetId="4" r:id="rId3"/>
    <sheet name="IM_USERINFO_IMG" sheetId="12" r:id="rId4"/>
    <sheet name="IM_USERINFO_ACCOUNT" sheetId="10" r:id="rId5"/>
    <sheet name="IM_USERINFO_FRIEND" sheetId="5" r:id="rId6"/>
    <sheet name="IM_GROUP" sheetId="7" r:id="rId7"/>
    <sheet name="IM_GROUP_USER" sheetId="8" r:id="rId8"/>
    <sheet name="IM_FRIEND_REMARK" sheetId="6" r:id="rId9"/>
    <sheet name="IM_GROUP_AFFICHE" sheetId="9" r:id="rId10"/>
    <sheet name="IM_HIS_MESSAGE" sheetId="3" r:id="rId11"/>
    <sheet name="IM_FOOTPRINT" sheetId="11" r:id="rId12"/>
    <sheet name="IM_CURRENT_LOCATION" sheetId="13" r:id="rId13"/>
  </sheets>
  <definedNames>
    <definedName name="_xlnm._FilterDatabase" localSheetId="0" hidden="1">目录!$A$2:$K$10</definedName>
  </definedNames>
  <calcPr calcId="144525"/>
</workbook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<sst xmlns="http://schemas.openxmlformats.org/spreadsheetml/2006/main" count="187">
  <si>
    <t>即时通讯数据库模型（Instant messaging）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</si>
  <si>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</si>
  <si>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</si>
  <si>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</si>
  <si>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</si>
  <si>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</si>
  <si>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</si>
  <si>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</si>
  <si>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消息用户信息类</t>
  </si>
  <si>
    <t>IM_USERINFO</t>
  </si>
  <si>
    <t>消息用户信息表</t>
  </si>
  <si>
    <t>完成</t>
  </si>
  <si>
    <t>IM_USERINFO_IMG</t>
  </si>
  <si>
    <t>用户头像信息</t>
  </si>
  <si>
    <t>IM_USERINFO_ACCOUNT</t>
  </si>
  <si>
    <t>消息用户账户信息</t>
  </si>
  <si>
    <t>一个用户对应多个账户（手机，email 等，通过绑定的方式）</t>
  </si>
  <si>
    <t>IM_USERINFO_FRIEND</t>
  </si>
  <si>
    <t>好友信息表（关联表）</t>
  </si>
  <si>
    <t>IM_FRIEND_REMARK</t>
  </si>
  <si>
    <t>好友信息备注表</t>
  </si>
  <si>
    <t>IM_GROUP</t>
  </si>
  <si>
    <t>群组信息</t>
  </si>
  <si>
    <t>IM_GROUP_USER</t>
  </si>
  <si>
    <t>组合消息用户信息关联表</t>
  </si>
  <si>
    <t>IM_GROUP_AFFICHE</t>
  </si>
  <si>
    <t>群公告</t>
  </si>
  <si>
    <t>消息历史信息</t>
  </si>
  <si>
    <t>IM_HIS_MESSAGE</t>
  </si>
  <si>
    <t>发送及接受消息的历史记录</t>
  </si>
  <si>
    <t>IM_FOOTPRINT</t>
  </si>
  <si>
    <t>足迹信息</t>
  </si>
  <si>
    <t>mongodb</t>
  </si>
  <si>
    <t>IM_CURRENT_LOCATION</t>
  </si>
  <si>
    <t>当前位置</t>
  </si>
  <si>
    <t>IM_PARAMETER</t>
  </si>
  <si>
    <t>参数设置</t>
  </si>
  <si>
    <t>---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</si>
  <si>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</si>
  <si>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</si>
  <si>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</si>
  <si>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</si>
  <si>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</si>
  <si>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</si>
  <si>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</si>
  <si>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</si>
  <si>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</si>
  <si>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</si>
  <si>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</si>
  <si>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</si>
  <si>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</si>
  <si>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</si>
  <si>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</si>
  <si>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</si>
  <si>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</si>
  <si>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</si>
  <si>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</si>
  <si>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</si>
  <si>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</si>
  <si>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</si>
  <si>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</si>
  <si>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</si>
  <si>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</si>
  <si>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</si>
  <si>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</si>
  <si>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</si>
  <si>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</si>
  <si>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</si>
  <si>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</si>
  <si>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</si>
  <si>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</si>
  <si>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</si>
  <si>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</si>
  <si>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</si>
  <si>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</si>
  <si>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</si>
  <si>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</si>
  <si>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</si>
  <si>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</si>
  <si>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</si>
  <si>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</si>
  <si>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</si>
  <si>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</si>
  <si>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</si>
  <si>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</si>
  <si>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</si>
  <si>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</si>
  <si>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</si>
  <si>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</si>
  <si>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</si>
  <si>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</si>
  <si>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F_AID</t>
  </si>
  <si>
    <t>业务系统的人员主键</t>
  </si>
  <si>
    <t>编码</t>
  </si>
  <si>
    <t>F_CODE</t>
  </si>
  <si>
    <t>UK</t>
  </si>
  <si>
    <t>业务系统的人员编码（唯一的）</t>
  </si>
  <si>
    <t>性别</t>
  </si>
  <si>
    <t>F_GENDER</t>
  </si>
  <si>
    <t>用户名/昵称</t>
  </si>
  <si>
    <t>F_NICKNAME</t>
  </si>
  <si>
    <t>密码</t>
  </si>
  <si>
    <t>F_PASSWORD</t>
  </si>
  <si>
    <t>是否禁用</t>
  </si>
  <si>
    <t>F_DISABLE</t>
  </si>
  <si>
    <t>1 禁用 0 不禁用</t>
  </si>
  <si>
    <t>标记</t>
  </si>
  <si>
    <t>F_FLAG</t>
  </si>
  <si>
    <t>0 矫正人员  1 工作人员 2 机构</t>
  </si>
  <si>
    <t>IMGID</t>
  </si>
  <si>
    <t>IMGID = F_AID</t>
  </si>
  <si>
    <t>头像数据</t>
  </si>
  <si>
    <t>data</t>
  </si>
  <si>
    <t>binary</t>
  </si>
  <si>
    <t>图像类型</t>
  </si>
  <si>
    <t>mimetype</t>
  </si>
  <si>
    <t>图片类型如：image/png</t>
  </si>
  <si>
    <t>F_ID</t>
  </si>
  <si>
    <t>消息用户主键</t>
  </si>
  <si>
    <t>FK</t>
  </si>
  <si>
    <t>IM_USERINFO.F_AID</t>
  </si>
  <si>
    <t>账户</t>
  </si>
  <si>
    <t>F_ACCOUNTID</t>
  </si>
  <si>
    <t>手机号，Email 等唯一标识用户的信息</t>
  </si>
  <si>
    <t>用户信息ID</t>
  </si>
  <si>
    <t>F_AID0</t>
  </si>
  <si>
    <t>好友信息ID</t>
  </si>
  <si>
    <t>F_AID1</t>
  </si>
  <si>
    <t>1.当对方设置为添加好友需要验证的时候，对方验证通过后，才将数据保存到该表中
2.如果对方没有设置添加好用验证时，添加好友的时候，直接保存到该表中</t>
  </si>
  <si>
    <t>F_GID</t>
  </si>
  <si>
    <t>群组名</t>
  </si>
  <si>
    <t>F_NAME</t>
  </si>
  <si>
    <t>群主ID</t>
  </si>
  <si>
    <t>群类型</t>
  </si>
  <si>
    <t>F_TYPE</t>
  </si>
  <si>
    <t>见：GroupType 
1.司法厅, 2.司法局,3.区司法局, 4.司法所, 9.工作群组</t>
  </si>
  <si>
    <t>群组信息ID</t>
  </si>
  <si>
    <t>IM_GROUP.F_GID</t>
  </si>
  <si>
    <t>群成员ID</t>
  </si>
  <si>
    <t>成员类型</t>
  </si>
  <si>
    <t>成员类型：0 普通成员 1 管理员  2 群主</t>
  </si>
  <si>
    <t>成员备注名</t>
  </si>
  <si>
    <t>好友备注名</t>
  </si>
  <si>
    <t>好友电话</t>
  </si>
  <si>
    <t>F_TEL</t>
  </si>
  <si>
    <t>好友Email</t>
  </si>
  <si>
    <t>F_EMAIL</t>
  </si>
  <si>
    <t>群组ID</t>
  </si>
  <si>
    <t>公告内容</t>
  </si>
  <si>
    <t>F_CONTENT</t>
  </si>
  <si>
    <t>3 群公告  4 注册通知  5 集中教育通知  6 集中服务通知</t>
  </si>
  <si>
    <t>F_MSGID</t>
  </si>
  <si>
    <t>FROM + timeMillis md5 值 （getMessageId())</t>
  </si>
  <si>
    <t>发送者</t>
  </si>
  <si>
    <t>F_FROM</t>
  </si>
  <si>
    <t>接受者</t>
  </si>
  <si>
    <t>F_TO</t>
  </si>
  <si>
    <t>消息类型</t>
  </si>
  <si>
    <t>参照消息协议 IMProtocl.Type</t>
  </si>
  <si>
    <t>语音/视频消息时长</t>
  </si>
  <si>
    <t>F_DURATION</t>
  </si>
  <si>
    <t>消息内容</t>
  </si>
  <si>
    <t>发送消息的时间</t>
  </si>
  <si>
    <t>F_TIMEMILLIS</t>
  </si>
  <si>
    <t>long</t>
  </si>
  <si>
    <t>客户端时间</t>
  </si>
  <si>
    <t>F_FID</t>
  </si>
  <si>
    <t>用户ID</t>
  </si>
  <si>
    <t>纬度</t>
  </si>
  <si>
    <t>F_LAT</t>
  </si>
  <si>
    <t>double</t>
  </si>
  <si>
    <t>16,12</t>
  </si>
  <si>
    <t>经度</t>
  </si>
  <si>
    <t>F_LNG</t>
  </si>
  <si>
    <t>步数</t>
  </si>
  <si>
    <t>F_STEP</t>
  </si>
  <si>
    <t>当前行走的步数(最终步数值）</t>
  </si>
  <si>
    <t>海拔高度</t>
  </si>
  <si>
    <t>F_ALTITUDE</t>
  </si>
  <si>
    <t>float</t>
  </si>
  <si>
    <t>8,2</t>
  </si>
  <si>
    <t>地址</t>
  </si>
  <si>
    <t>F_ADDRESS</t>
  </si>
  <si>
    <t>位置描述</t>
  </si>
  <si>
    <t>F_DESCRIBE</t>
  </si>
  <si>
    <t>mongodb:
{
 "_id" : "fafcafd6-97ea-47b5-83c0-81a043f58ba1",
 "aid" : "8c5a0fb5-e863-47b2-8b98-2a398ef84156",
 "address" : "中国内蒙古自治区呼和浩特市赛罕区先锋西巷",
 "cts" : NumberLong("1506615033953"),
 "uts" : NumberLong("1506615033953"),
 "location" : {
  "coordinates" : [
   111.712512,//经度
   40.832117  //纬度
  ],
  "type" : "Point"
 },
 "describe" : "在呼和浩特市自来水公司家属院附近",
 "speed" : 0,
 "STEP":1 //步数
}</t>
  </si>
  <si>
    <t>mongo: _id = aid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</si>
</sst>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[$-F800]dddd\,\ mmmm\ dd\,\ yyyy"/>
  </numFmts>
  <fonts count="31">
    <font>
      <sz val="12"/>
      <name val="宋体"/>
      <charset val="134"/>
    </font>
    <font>
      <b/>
      <u/>
      <sz val="14"/>
      <color indexed="12"/>
      <name val="宋体"/>
      <charset val="134"/>
    </font>
    <font>
      <sz val="10"/>
      <name val="宋体"/>
      <charset val="134"/>
    </font>
    <font>
      <b/>
      <u/>
      <sz val="14"/>
      <color rgb="FF800080"/>
      <name val="宋体"/>
      <charset val="134"/>
    </font>
    <font>
      <u/>
      <sz val="12"/>
      <color rgb="FF800080"/>
      <name val="宋体"/>
      <charset val="134"/>
    </font>
    <font>
      <u/>
      <sz val="12"/>
      <color indexed="12"/>
      <name val="宋体"/>
      <charset val="134"/>
    </font>
    <font>
      <sz val="10"/>
      <color indexed="58"/>
      <name val="宋体"/>
      <charset val="134"/>
    </font>
    <font>
      <b/>
      <sz val="10"/>
      <color indexed="8"/>
      <name val="宋体"/>
      <charset val="134"/>
    </font>
    <font>
      <b/>
      <sz val="10"/>
      <color rgb="FF0070C0"/>
      <name val="宋体"/>
      <charset val="134"/>
    </font>
    <font>
      <u/>
      <sz val="10"/>
      <color indexed="20"/>
      <name val="宋体"/>
      <charset val="134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indexed="8"/>
      <name val="宋体"/>
      <charset val="134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0"/>
      <name val="Arial"/>
      <charset val="134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3">
    <xf numFmtId="0" fontId="0" fillId="0" borderId="0">
      <alignment vertical="center"/>
    </xf>
    <xf numFmtId="42" fontId="17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22" fillId="16" borderId="11" applyNumberFormat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1" fontId="17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15" borderId="12" applyNumberFormat="0" applyFont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9" fillId="14" borderId="16" applyNumberFormat="0" applyAlignment="0" applyProtection="0">
      <alignment vertical="center"/>
    </xf>
    <xf numFmtId="0" fontId="14" fillId="0" borderId="0"/>
    <xf numFmtId="0" fontId="20" fillId="14" borderId="11" applyNumberFormat="0" applyAlignment="0" applyProtection="0">
      <alignment vertical="center"/>
    </xf>
    <xf numFmtId="0" fontId="27" fillId="21" borderId="15" applyNumberForma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23" fillId="0" borderId="13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7" fillId="0" borderId="0"/>
    <xf numFmtId="176" fontId="25" fillId="0" borderId="0"/>
    <xf numFmtId="0" fontId="14" fillId="0" borderId="0"/>
  </cellStyleXfs>
  <cellXfs count="37">
    <xf numFmtId="0" fontId="0" fillId="0" borderId="0" xfId="0">
      <alignment vertical="center"/>
    </xf>
    <xf numFmtId="0" fontId="1" fillId="2" borderId="0" xfId="10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0" borderId="4" xfId="0" applyNumberFormat="1" applyFont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3" fillId="2" borderId="0" xfId="10" applyFont="1" applyFill="1">
      <alignment vertical="center"/>
    </xf>
    <xf numFmtId="0" fontId="4" fillId="0" borderId="2" xfId="10" applyNumberFormat="1" applyFont="1" applyBorder="1" applyAlignment="1">
      <alignment vertical="center" wrapText="1"/>
    </xf>
    <xf numFmtId="0" fontId="2" fillId="0" borderId="3" xfId="0" applyNumberFormat="1" applyFont="1" applyBorder="1" applyAlignment="1">
      <alignment vertical="center" wrapText="1"/>
    </xf>
    <xf numFmtId="0" fontId="2" fillId="2" borderId="8" xfId="0" applyNumberFormat="1" applyFont="1" applyFill="1" applyBorder="1" applyAlignment="1">
      <alignment vertical="center" wrapText="1"/>
    </xf>
    <xf numFmtId="0" fontId="5" fillId="0" borderId="2" xfId="10" applyNumberFormat="1" applyBorder="1" applyAlignment="1">
      <alignment vertical="center" wrapText="1"/>
    </xf>
    <xf numFmtId="0" fontId="6" fillId="0" borderId="3" xfId="0" applyNumberFormat="1" applyFont="1" applyBorder="1" applyAlignment="1">
      <alignment vertical="center" wrapText="1"/>
    </xf>
    <xf numFmtId="0" fontId="6" fillId="0" borderId="1" xfId="0" applyNumberFormat="1" applyFont="1" applyBorder="1" applyAlignment="1">
      <alignment vertical="center" wrapText="1"/>
    </xf>
    <xf numFmtId="0" fontId="6" fillId="0" borderId="7" xfId="0" applyNumberFormat="1" applyFont="1" applyBorder="1" applyAlignment="1">
      <alignment vertical="center" wrapText="1"/>
    </xf>
    <xf numFmtId="0" fontId="2" fillId="0" borderId="0" xfId="0" applyFont="1" applyBorder="1">
      <alignment vertical="center"/>
    </xf>
    <xf numFmtId="0" fontId="2" fillId="0" borderId="0" xfId="0" applyFont="1">
      <alignment vertical="center"/>
    </xf>
    <xf numFmtId="0" fontId="2" fillId="0" borderId="0" xfId="0" applyFont="1" applyBorder="1" applyAlignment="1">
      <alignment horizontal="left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Fill="1" applyBorder="1">
      <alignment vertical="center"/>
    </xf>
    <xf numFmtId="0" fontId="9" fillId="0" borderId="1" xfId="10" applyFont="1" applyFill="1" applyBorder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9" fillId="0" borderId="1" xfId="10" applyFont="1" applyBorder="1">
      <alignment vertical="center"/>
    </xf>
    <xf numFmtId="0" fontId="9" fillId="0" borderId="0" xfId="10" applyFont="1" applyBorder="1">
      <alignment vertical="center"/>
    </xf>
    <xf numFmtId="0" fontId="2" fillId="0" borderId="1" xfId="0" applyFont="1" applyBorder="1" quotePrefix="1">
      <alignment vertical="center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常规 5 3" xfId="25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24" xfId="51"/>
    <cellStyle name="常规 5" xf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 ax:persistence="persistStreamInit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0</xdr:row>
          <xdr:rowOff>123825</xdr:rowOff>
        </xdr:from>
        <xdr:to>
          <xdr:col>9</xdr:col>
          <xdr:colOff>1019175</xdr:colOff>
          <xdr:row>1</xdr:row>
          <xdr:rowOff>238125</xdr:rowOff>
        </xdr:to>
        <xdr:sp>
          <xdr:nvSpPr>
            <xdr:cNvPr id="1025" name="btnCre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0896600" y="123825"/>
              <a:ext cx="676275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19050</xdr:rowOff>
        </xdr:from>
        <xdr:to>
          <xdr:col>8</xdr:col>
          <xdr:colOff>466725</xdr:colOff>
          <xdr:row>1</xdr:row>
          <xdr:rowOff>209550</xdr:rowOff>
        </xdr:to>
        <xdr:sp>
          <xdr:nvSpPr>
            <xdr:cNvPr id="1026" name="Label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839325" y="171450"/>
              <a:ext cx="457200" cy="1905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0</xdr:row>
          <xdr:rowOff>133350</xdr:rowOff>
        </xdr:from>
        <xdr:to>
          <xdr:col>9</xdr:col>
          <xdr:colOff>152400</xdr:colOff>
          <xdr:row>1</xdr:row>
          <xdr:rowOff>228600</xdr:rowOff>
        </xdr:to>
        <xdr:sp>
          <xdr:nvSpPr>
            <xdr:cNvPr id="1029" name="TextBox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10325100" y="133350"/>
              <a:ext cx="3810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1200150</xdr:colOff>
          <xdr:row>0</xdr:row>
          <xdr:rowOff>123825</xdr:rowOff>
        </xdr:from>
        <xdr:to>
          <xdr:col>10</xdr:col>
          <xdr:colOff>171450</xdr:colOff>
          <xdr:row>1</xdr:row>
          <xdr:rowOff>238125</xdr:rowOff>
        </xdr:to>
        <xdr:sp>
          <xdr:nvSpPr>
            <xdr:cNvPr id="1030" name="btnUpdat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11753850" y="123825"/>
              <a:ext cx="1447800" cy="2667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57150</xdr:rowOff>
        </xdr:from>
        <xdr:to>
          <xdr:col>9</xdr:col>
          <xdr:colOff>504825</xdr:colOff>
          <xdr:row>3</xdr:row>
          <xdr:rowOff>142875</xdr:rowOff>
        </xdr:to>
        <xdr:sp>
          <xdr:nvSpPr>
            <xdr:cNvPr id="1032" name="Label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9820275" y="552450"/>
              <a:ext cx="12382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2</xdr:row>
          <xdr:rowOff>19050</xdr:rowOff>
        </xdr:from>
        <xdr:to>
          <xdr:col>9</xdr:col>
          <xdr:colOff>1476375</xdr:colOff>
          <xdr:row>3</xdr:row>
          <xdr:rowOff>76200</xdr:rowOff>
        </xdr:to>
        <xdr:sp>
          <xdr:nvSpPr>
            <xdr:cNvPr id="1033" name="field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11087100" y="514350"/>
              <a:ext cx="942975" cy="2095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238125</xdr:rowOff>
        </xdr:from>
        <xdr:to>
          <xdr:col>9</xdr:col>
          <xdr:colOff>552450</xdr:colOff>
          <xdr:row>4</xdr:row>
          <xdr:rowOff>219075</xdr:rowOff>
        </xdr:to>
        <xdr:sp>
          <xdr:nvSpPr>
            <xdr:cNvPr id="1034" name="Label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9829800" y="885825"/>
              <a:ext cx="1276350" cy="22161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533400</xdr:colOff>
          <xdr:row>3</xdr:row>
          <xdr:rowOff>200025</xdr:rowOff>
        </xdr:from>
        <xdr:to>
          <xdr:col>9</xdr:col>
          <xdr:colOff>1485900</xdr:colOff>
          <xdr:row>4</xdr:row>
          <xdr:rowOff>180975</xdr:rowOff>
        </xdr:to>
        <xdr:sp>
          <xdr:nvSpPr>
            <xdr:cNvPr id="1035" name="field2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11087100" y="847725"/>
              <a:ext cx="952500" cy="22161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5</xdr:row>
          <xdr:rowOff>66675</xdr:rowOff>
        </xdr:from>
        <xdr:to>
          <xdr:col>9</xdr:col>
          <xdr:colOff>552450</xdr:colOff>
          <xdr:row>5</xdr:row>
          <xdr:rowOff>285750</xdr:rowOff>
        </xdr:to>
        <xdr:sp>
          <xdr:nvSpPr>
            <xdr:cNvPr id="1036" name="Label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9772650" y="1336040"/>
              <a:ext cx="1333500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2019300</xdr:colOff>
          <xdr:row>4</xdr:row>
          <xdr:rowOff>66675</xdr:rowOff>
        </xdr:from>
        <xdr:to>
          <xdr:col>10</xdr:col>
          <xdr:colOff>238125</xdr:colOff>
          <xdr:row>5</xdr:row>
          <xdr:rowOff>123825</xdr:rowOff>
        </xdr:to>
        <xdr:sp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12573000" y="955040"/>
              <a:ext cx="695325" cy="4381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1362075</xdr:colOff>
          <xdr:row>5</xdr:row>
          <xdr:rowOff>57150</xdr:rowOff>
        </xdr:from>
        <xdr:to>
          <xdr:col>9</xdr:col>
          <xdr:colOff>1438275</xdr:colOff>
          <xdr:row>5</xdr:row>
          <xdr:rowOff>219075</xdr:rowOff>
        </xdr:to>
        <xdr:sp>
          <xdr:nvSpPr>
            <xdr:cNvPr id="1039" name="lab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1915775" y="1326515"/>
              <a:ext cx="76200" cy="1619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1466850</xdr:colOff>
          <xdr:row>5</xdr:row>
          <xdr:rowOff>38100</xdr:rowOff>
        </xdr:from>
        <xdr:to>
          <xdr:col>9</xdr:col>
          <xdr:colOff>1857375</xdr:colOff>
          <xdr:row>5</xdr:row>
          <xdr:rowOff>257175</xdr:rowOff>
        </xdr:to>
        <xdr:sp>
          <xdr:nvSpPr>
            <xdr:cNvPr id="1040" name="typeLength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2020550" y="1307465"/>
              <a:ext cx="390525" cy="2190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523875</xdr:colOff>
          <xdr:row>5</xdr:row>
          <xdr:rowOff>38100</xdr:rowOff>
        </xdr:from>
        <xdr:to>
          <xdr:col>9</xdr:col>
          <xdr:colOff>1352550</xdr:colOff>
          <xdr:row>5</xdr:row>
          <xdr:rowOff>276225</xdr:rowOff>
        </xdr:to>
        <xdr:sp>
          <xdr:nvSpPr>
            <xdr:cNvPr id="1041" name="Combo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1077575" y="1307465"/>
              <a:ext cx="82867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8" Type="http://schemas.openxmlformats.org/officeDocument/2006/relationships/image" Target="../media/image13.wmf"/><Relationship Id="rId27" Type="http://schemas.openxmlformats.org/officeDocument/2006/relationships/control" Target="../activeX/activeX13.xml"/><Relationship Id="rId26" Type="http://schemas.openxmlformats.org/officeDocument/2006/relationships/image" Target="../media/image12.wmf"/><Relationship Id="rId25" Type="http://schemas.openxmlformats.org/officeDocument/2006/relationships/control" Target="../activeX/activeX12.xml"/><Relationship Id="rId24" Type="http://schemas.openxmlformats.org/officeDocument/2006/relationships/image" Target="../media/image11.wmf"/><Relationship Id="rId23" Type="http://schemas.openxmlformats.org/officeDocument/2006/relationships/control" Target="../activeX/activeX11.xml"/><Relationship Id="rId22" Type="http://schemas.openxmlformats.org/officeDocument/2006/relationships/image" Target="../media/image10.wmf"/><Relationship Id="rId21" Type="http://schemas.openxmlformats.org/officeDocument/2006/relationships/control" Target="../activeX/activeX10.xml"/><Relationship Id="rId20" Type="http://schemas.openxmlformats.org/officeDocument/2006/relationships/image" Target="../media/image9.w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wmf"/><Relationship Id="rId17" Type="http://schemas.openxmlformats.org/officeDocument/2006/relationships/control" Target="../activeX/activeX8.xml"/><Relationship Id="rId16" Type="http://schemas.openxmlformats.org/officeDocument/2006/relationships/image" Target="../media/image7.wmf"/><Relationship Id="rId15" Type="http://schemas.openxmlformats.org/officeDocument/2006/relationships/control" Target="../activeX/activeX7.xml"/><Relationship Id="rId14" Type="http://schemas.openxmlformats.org/officeDocument/2006/relationships/image" Target="../media/image6.wmf"/><Relationship Id="rId13" Type="http://schemas.openxmlformats.org/officeDocument/2006/relationships/control" Target="../activeX/activeX6.xml"/><Relationship Id="rId12" Type="http://schemas.openxmlformats.org/officeDocument/2006/relationships/image" Target="../media/image5.wmf"/><Relationship Id="rId11" Type="http://schemas.openxmlformats.org/officeDocument/2006/relationships/control" Target="../activeX/activeX5.xml"/><Relationship Id="rId10" Type="http://schemas.openxmlformats.org/officeDocument/2006/relationships/image" Target="../media/image4.w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comments" Target="../comments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38"/>
  <sheetViews>
    <sheetView workbookViewId="0">
      <pane ySplit="2" topLeftCell="A3" activePane="bottomLeft" state="frozen"/>
      <selection/>
      <selection pane="bottomLeft" activeCell="C9" sqref="C9"/>
    </sheetView>
  </sheetViews>
  <sheetFormatPr defaultColWidth="9" defaultRowHeight="12" outlineLevelCol="6"/>
  <cols>
    <col min="1" max="1" width="4.375" style="25" customWidth="1"/>
    <col min="2" max="2" width="22.625" style="25" customWidth="1"/>
    <col min="3" max="3" width="9" style="25"/>
    <col min="4" max="4" width="42" style="25" customWidth="1"/>
    <col min="5" max="5" width="25.875" style="25" customWidth="1"/>
    <col min="6" max="6" width="8.5" style="26" customWidth="1"/>
    <col min="7" max="7" width="9.125" style="26" customWidth="1"/>
    <col min="8" max="8" width="7.5" style="26" customWidth="1"/>
    <col min="9" max="9" width="9.5" style="26" customWidth="1"/>
    <col min="10" max="10" width="32.5" style="26" customWidth="1"/>
    <col min="11" max="16384" width="9" style="26"/>
  </cols>
  <sheetData>
    <row r="1" spans="1:5">
      <c r="A1" s="27" t="s">
        <v>0</v>
      </c>
      <c r="B1" s="27"/>
      <c r="C1" s="27"/>
      <c r="D1" s="27"/>
      <c r="E1" s="27"/>
    </row>
    <row r="2" ht="27" customHeight="1" spans="1:7">
      <c r="A2" s="28" t="s">
        <v>1</v>
      </c>
      <c r="B2" s="28" t="s">
        <v>2</v>
      </c>
      <c r="C2" s="28" t="s">
        <v>3</v>
      </c>
      <c r="D2" s="28" t="s">
        <v>4</v>
      </c>
      <c r="E2" s="29" t="s">
        <v>5</v>
      </c>
      <c r="F2" s="29" t="s">
        <v>6</v>
      </c>
      <c r="G2" s="29" t="s">
        <v>7</v>
      </c>
    </row>
    <row r="3" spans="1:7">
      <c r="A3" s="30" t="s">
        <v>8</v>
      </c>
      <c r="B3" s="30"/>
      <c r="C3" s="30"/>
      <c r="D3" s="30"/>
      <c r="E3" s="30"/>
      <c r="F3" s="31"/>
      <c r="G3" s="31"/>
    </row>
    <row r="4" ht="18.95" customHeight="1" spans="1:7">
      <c r="A4" s="32">
        <f>IF(COUNTA(B4)&gt;0,ROW(B4)-3,"")</f>
        <v>1</v>
      </c>
      <c r="B4" s="32" t="s">
        <v>9</v>
      </c>
      <c r="C4" s="33" t="str">
        <f>IF(B4&lt;&gt;"",HYPERLINK("#"&amp;B4&amp;"!A1","链接"),"")</f>
        <v>链接</v>
      </c>
      <c r="D4" s="32" t="s">
        <v>10</v>
      </c>
      <c r="E4" s="34"/>
      <c r="F4" s="32"/>
      <c r="G4" s="32" t="s">
        <v>11</v>
      </c>
    </row>
    <row r="5" ht="30" customHeight="1" spans="1:7">
      <c r="A5" s="32">
        <f t="shared" ref="A5:A11" si="0">IF(COUNTA(B5)&gt;0,ROW(B5)-3,"")</f>
        <v>2</v>
      </c>
      <c r="B5" s="32" t="s">
        <v>12</v>
      </c>
      <c r="C5" s="33" t="str">
        <f>IF(B5&lt;&gt;"",HYPERLINK("#"&amp;B5&amp;"!A1","链接"),"")</f>
        <v>链接</v>
      </c>
      <c r="D5" s="32" t="s">
        <v>13</v>
      </c>
      <c r="E5" s="34"/>
      <c r="F5" s="32"/>
      <c r="G5" s="32" t="s">
        <v>11</v>
      </c>
    </row>
    <row r="6" ht="24" spans="1:7">
      <c r="A6" s="32">
        <f t="shared" si="0"/>
        <v>3</v>
      </c>
      <c r="B6" s="32" t="s">
        <v>14</v>
      </c>
      <c r="C6" s="33" t="str">
        <f t="shared" ref="C6:C11" si="1">IF(B6&lt;&gt;"",HYPERLINK("#"&amp;B6&amp;"!A1","链接"),"")</f>
        <v>链接</v>
      </c>
      <c r="D6" s="32" t="s">
        <v>15</v>
      </c>
      <c r="E6" s="34" t="s">
        <v>16</v>
      </c>
      <c r="F6" s="32"/>
      <c r="G6" s="32" t="s">
        <v>11</v>
      </c>
    </row>
    <row r="7" ht="17" customHeight="1" spans="1:7">
      <c r="A7" s="32">
        <f t="shared" si="0"/>
        <v>4</v>
      </c>
      <c r="B7" s="32" t="s">
        <v>17</v>
      </c>
      <c r="C7" s="33" t="str">
        <f t="shared" si="1"/>
        <v>链接</v>
      </c>
      <c r="D7" s="32" t="s">
        <v>18</v>
      </c>
      <c r="E7" s="34"/>
      <c r="F7" s="32"/>
      <c r="G7" s="32" t="s">
        <v>11</v>
      </c>
    </row>
    <row r="8" ht="17" customHeight="1" spans="1:7">
      <c r="A8" s="32">
        <f t="shared" si="0"/>
        <v>5</v>
      </c>
      <c r="B8" s="32" t="s">
        <v>19</v>
      </c>
      <c r="C8" s="33" t="str">
        <f t="shared" si="1"/>
        <v>链接</v>
      </c>
      <c r="D8" s="32" t="s">
        <v>20</v>
      </c>
      <c r="E8" s="34"/>
      <c r="F8" s="32"/>
      <c r="G8" s="32" t="s">
        <v>11</v>
      </c>
    </row>
    <row r="9" ht="17" customHeight="1" spans="1:7">
      <c r="A9" s="32">
        <f t="shared" si="0"/>
        <v>6</v>
      </c>
      <c r="B9" s="32" t="s">
        <v>21</v>
      </c>
      <c r="C9" s="33" t="str">
        <f t="shared" si="1"/>
        <v>链接</v>
      </c>
      <c r="D9" s="32" t="s">
        <v>22</v>
      </c>
      <c r="E9" s="34"/>
      <c r="F9" s="32"/>
      <c r="G9" s="32" t="s">
        <v>11</v>
      </c>
    </row>
    <row r="10" ht="18" customHeight="1" spans="1:7">
      <c r="A10" s="32">
        <f t="shared" si="0"/>
        <v>7</v>
      </c>
      <c r="B10" s="32" t="s">
        <v>23</v>
      </c>
      <c r="C10" s="33" t="str">
        <f t="shared" si="1"/>
        <v>链接</v>
      </c>
      <c r="D10" s="32" t="s">
        <v>24</v>
      </c>
      <c r="E10" s="34"/>
      <c r="F10" s="32"/>
      <c r="G10" s="32" t="s">
        <v>11</v>
      </c>
    </row>
    <row r="11" ht="15" customHeight="1" spans="1:7">
      <c r="A11" s="32">
        <f t="shared" si="0"/>
        <v>8</v>
      </c>
      <c r="B11" s="32" t="s">
        <v>25</v>
      </c>
      <c r="C11" s="33" t="str">
        <f t="shared" si="1"/>
        <v>链接</v>
      </c>
      <c r="D11" s="32" t="s">
        <v>26</v>
      </c>
      <c r="E11" s="34"/>
      <c r="F11" s="32"/>
      <c r="G11" s="32" t="s">
        <v>11</v>
      </c>
    </row>
    <row r="12" ht="18" customHeight="1" spans="1:7">
      <c r="A12" s="30" t="s">
        <v>27</v>
      </c>
      <c r="B12" s="30"/>
      <c r="C12" s="30"/>
      <c r="D12" s="30"/>
      <c r="E12" s="30"/>
      <c r="F12" s="32"/>
      <c r="G12" s="32"/>
    </row>
    <row r="13" ht="18" customHeight="1" spans="1:7">
      <c r="A13" s="32">
        <f>IF(COUNTA(B13)&gt;0,ROW(B13)-3,"")</f>
        <v>10</v>
      </c>
      <c r="B13" s="32" t="s">
        <v>28</v>
      </c>
      <c r="C13" s="33" t="str">
        <f>IF(B13&lt;&gt;"",HYPERLINK("#"&amp;B13&amp;"!A1","链接"),"")</f>
        <v>链接</v>
      </c>
      <c r="D13" s="32" t="s">
        <v>29</v>
      </c>
      <c r="E13" s="34"/>
      <c r="F13" s="32"/>
      <c r="G13" s="32" t="s">
        <v>11</v>
      </c>
    </row>
    <row r="14" ht="18" customHeight="1" spans="1:7">
      <c r="A14" s="32" t="str">
        <f>IF(COUNTA(B14)&gt;0,ROW(B14)-3,"")</f>
        <v/>
      </c>
      <c r="C14" s="33" t="str">
        <f>IF(B14&lt;&gt;"",HYPERLINK("#"&amp;B14&amp;"!A1","链接"),"")</f>
        <v/>
      </c>
      <c r="E14" s="32"/>
      <c r="F14" s="32"/>
      <c r="G14" s="32"/>
    </row>
    <row r="15" ht="18" customHeight="1" spans="1:7">
      <c r="A15" s="32">
        <f>IF(COUNTA(B15)&gt;0,ROW(B15)-3,"")</f>
        <v>12</v>
      </c>
      <c r="B15" s="31" t="s">
        <v>30</v>
      </c>
      <c r="C15" s="33" t="str">
        <f>IF(B15&lt;&gt;"",HYPERLINK("#"&amp;B15&amp;"!A1","链接"),"")</f>
        <v>链接</v>
      </c>
      <c r="D15" s="25" t="s">
        <v>31</v>
      </c>
      <c r="E15" s="32" t="s">
        <v>32</v>
      </c>
      <c r="F15" s="32"/>
      <c r="G15" s="32"/>
    </row>
    <row r="16" ht="18" customHeight="1" spans="1:7">
      <c r="A16" s="32">
        <f>IF(COUNTA(B16)&gt;0,ROW(B16)-3,"")</f>
        <v>13</v>
      </c>
      <c r="B16" s="31" t="s">
        <v>33</v>
      </c>
      <c r="C16" s="33" t="str">
        <f>IF(B16&lt;&gt;"",HYPERLINK("#"&amp;B16&amp;"!A1","链接"),"")</f>
        <v>链接</v>
      </c>
      <c r="D16" s="25" t="s">
        <v>34</v>
      </c>
      <c r="E16" s="32" t="s">
        <v>32</v>
      </c>
      <c r="F16" s="32"/>
      <c r="G16" s="32"/>
    </row>
    <row r="17" ht="18" customHeight="1" spans="1:7">
      <c r="A17" s="32">
        <f t="shared" ref="A17:A28" si="2">IF(COUNTA(B17)&gt;0,ROW(B17)-3,"")</f>
        <v>14</v>
      </c>
      <c r="B17" s="31" t="s">
        <v>35</v>
      </c>
      <c r="C17" s="35"/>
      <c r="D17" s="31" t="s">
        <v>36</v>
      </c>
      <c r="E17" s="37" t="s">
        <v>37</v>
      </c>
      <c r="F17" s="31"/>
      <c r="G17" s="31"/>
    </row>
    <row r="18" ht="18" customHeight="1" spans="1:7">
      <c r="A18" s="32" t="str">
        <f t="shared" si="2"/>
        <v/>
      </c>
      <c r="B18" s="31"/>
      <c r="C18" s="35" t="str">
        <f t="shared" ref="C18:C29" si="3">IF(B18&lt;&gt;"",HYPERLINK("#"&amp;B18&amp;"!A1","链接"),"")</f>
        <v/>
      </c>
      <c r="D18" s="31"/>
      <c r="E18" s="31"/>
      <c r="F18" s="31"/>
      <c r="G18" s="31"/>
    </row>
    <row r="19" ht="18" customHeight="1" spans="1:7">
      <c r="A19" s="32" t="str">
        <f t="shared" si="2"/>
        <v/>
      </c>
      <c r="B19" s="31"/>
      <c r="C19" s="35" t="str">
        <f t="shared" si="3"/>
        <v/>
      </c>
      <c r="D19" s="31"/>
      <c r="E19" s="31"/>
      <c r="F19" s="31"/>
      <c r="G19" s="31"/>
    </row>
    <row r="20" ht="18" customHeight="1" spans="1:7">
      <c r="A20" s="32" t="str">
        <f t="shared" si="2"/>
        <v/>
      </c>
      <c r="B20" s="31"/>
      <c r="C20" s="35" t="str">
        <f t="shared" si="3"/>
        <v/>
      </c>
      <c r="D20" s="31"/>
      <c r="E20" s="31"/>
      <c r="F20" s="31"/>
      <c r="G20" s="31"/>
    </row>
    <row r="21" ht="18" customHeight="1" spans="1:7">
      <c r="A21" s="32" t="str">
        <f t="shared" si="2"/>
        <v/>
      </c>
      <c r="B21" s="31"/>
      <c r="C21" s="35" t="str">
        <f t="shared" si="3"/>
        <v/>
      </c>
      <c r="D21" s="31"/>
      <c r="E21" s="31"/>
      <c r="F21" s="31"/>
      <c r="G21" s="31"/>
    </row>
    <row r="22" ht="18" customHeight="1" spans="1:7">
      <c r="A22" s="32" t="str">
        <f t="shared" si="2"/>
        <v/>
      </c>
      <c r="B22" s="31"/>
      <c r="C22" s="35" t="str">
        <f t="shared" si="3"/>
        <v/>
      </c>
      <c r="D22" s="31"/>
      <c r="E22" s="31"/>
      <c r="F22" s="31"/>
      <c r="G22" s="31"/>
    </row>
    <row r="23" ht="18" customHeight="1" spans="1:7">
      <c r="A23" s="32" t="str">
        <f t="shared" si="2"/>
        <v/>
      </c>
      <c r="B23" s="31"/>
      <c r="C23" s="35" t="str">
        <f t="shared" si="3"/>
        <v/>
      </c>
      <c r="D23" s="31"/>
      <c r="E23" s="31"/>
      <c r="F23" s="31"/>
      <c r="G23" s="31"/>
    </row>
    <row r="24" ht="18" customHeight="1" spans="1:7">
      <c r="A24" s="32" t="str">
        <f t="shared" si="2"/>
        <v/>
      </c>
      <c r="B24" s="31"/>
      <c r="C24" s="35" t="str">
        <f t="shared" si="3"/>
        <v/>
      </c>
      <c r="D24" s="31"/>
      <c r="E24" s="31"/>
      <c r="F24" s="31"/>
      <c r="G24" s="31"/>
    </row>
    <row r="25" ht="18" customHeight="1" spans="1:7">
      <c r="A25" s="32" t="str">
        <f t="shared" si="2"/>
        <v/>
      </c>
      <c r="B25" s="31"/>
      <c r="C25" s="35" t="str">
        <f t="shared" si="3"/>
        <v/>
      </c>
      <c r="D25" s="31"/>
      <c r="E25" s="31"/>
      <c r="F25" s="31"/>
      <c r="G25" s="31"/>
    </row>
    <row r="26" ht="18" customHeight="1" spans="1:7">
      <c r="A26" s="32" t="str">
        <f t="shared" si="2"/>
        <v/>
      </c>
      <c r="B26" s="31"/>
      <c r="C26" s="35" t="str">
        <f t="shared" si="3"/>
        <v/>
      </c>
      <c r="D26" s="31"/>
      <c r="E26" s="31"/>
      <c r="F26" s="31"/>
      <c r="G26" s="31"/>
    </row>
    <row r="27" ht="18" customHeight="1" spans="1:7">
      <c r="A27" s="31" t="str">
        <f t="shared" si="2"/>
        <v/>
      </c>
      <c r="B27" s="31"/>
      <c r="C27" s="35" t="str">
        <f t="shared" si="3"/>
        <v/>
      </c>
      <c r="D27" s="31"/>
      <c r="E27" s="31"/>
      <c r="F27" s="31"/>
      <c r="G27" s="31"/>
    </row>
    <row r="28" spans="1:7">
      <c r="A28" s="31" t="str">
        <f t="shared" si="2"/>
        <v/>
      </c>
      <c r="B28" s="31"/>
      <c r="C28" s="35" t="str">
        <f t="shared" si="3"/>
        <v/>
      </c>
      <c r="D28" s="31"/>
      <c r="E28" s="31"/>
      <c r="F28" s="31"/>
      <c r="G28" s="31"/>
    </row>
    <row r="29" spans="1:7">
      <c r="A29" s="31" t="str">
        <f t="shared" ref="A29:A38" si="4">IF(COUNTA(B29)&gt;0,ROW(B29)-2,"")</f>
        <v/>
      </c>
      <c r="B29" s="31"/>
      <c r="C29" s="35" t="str">
        <f t="shared" si="3"/>
        <v/>
      </c>
      <c r="D29" s="31"/>
      <c r="E29" s="31"/>
      <c r="F29" s="31"/>
      <c r="G29" s="31"/>
    </row>
    <row r="30" spans="1:3">
      <c r="A30" s="25" t="str">
        <f t="shared" si="4"/>
        <v/>
      </c>
      <c r="C30" s="36"/>
    </row>
    <row r="31" spans="1:1">
      <c r="A31" s="25" t="str">
        <f t="shared" si="4"/>
        <v/>
      </c>
    </row>
    <row r="32" spans="1:1">
      <c r="A32" s="25" t="str">
        <f t="shared" si="4"/>
        <v/>
      </c>
    </row>
    <row r="33" spans="1:1">
      <c r="A33" s="25" t="str">
        <f t="shared" si="4"/>
        <v/>
      </c>
    </row>
    <row r="34" spans="1:1">
      <c r="A34" s="25" t="str">
        <f t="shared" si="4"/>
        <v/>
      </c>
    </row>
    <row r="35" spans="1:1">
      <c r="A35" s="25" t="str">
        <f t="shared" si="4"/>
        <v/>
      </c>
    </row>
    <row r="36" spans="1:1">
      <c r="A36" s="25" t="str">
        <f t="shared" si="4"/>
        <v/>
      </c>
    </row>
    <row r="37" spans="1:1">
      <c r="A37" s="25" t="str">
        <f t="shared" si="4"/>
        <v/>
      </c>
    </row>
    <row r="38" spans="1:1">
      <c r="A38" s="25" t="str">
        <f t="shared" si="4"/>
        <v/>
      </c>
    </row>
  </sheetData>
  <mergeCells count="3">
    <mergeCell ref="A1:E1"/>
    <mergeCell ref="A3:E3"/>
    <mergeCell ref="A12:E12"/>
  </mergeCells>
  <dataValidations count="1">
    <dataValidation type="list" allowBlank="1" showInputMessage="1" showErrorMessage="1" sqref="F3 F4 F5 F6 F7 F8 F9 F10 F11 F12">
      <formula1>"是,否"</formula1>
    </dataValidation>
  </dataValidations>
  <pageMargins left="0.75" right="0.75" top="1" bottom="1" header="0.510416666666667" footer="0.510416666666667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btnCreate">
          <controlPr defaultSize="0" r:id="rId4">
            <anchor moveWithCells="1">
              <from>
                <xdr:col>9</xdr:col>
                <xdr:colOff>342900</xdr:colOff>
                <xdr:row>0</xdr:row>
                <xdr:rowOff>123825</xdr:rowOff>
              </from>
              <to>
                <xdr:col>9</xdr:col>
                <xdr:colOff>1019175</xdr:colOff>
                <xdr:row>1</xdr:row>
                <xdr:rowOff>238125</xdr:rowOff>
              </to>
            </anchor>
          </controlPr>
        </control>
      </mc:Choice>
      <mc:Fallback>
        <control shapeId="1025" r:id="rId3" name="btnCreate"/>
      </mc:Fallback>
    </mc:AlternateContent>
    <mc:AlternateContent xmlns:mc="http://schemas.openxmlformats.org/markup-compatibility/2006">
      <mc:Choice Requires="x14">
        <control shapeId="1026" r:id="rId5" name="Label1">
          <controlPr defaultSize="0" r:id="rId6">
            <anchor moveWithCells="1">
              <from>
                <xdr:col>8</xdr:col>
                <xdr:colOff>9525</xdr:colOff>
                <xdr:row>1</xdr:row>
                <xdr:rowOff>19050</xdr:rowOff>
              </from>
              <to>
                <xdr:col>8</xdr:col>
                <xdr:colOff>466725</xdr:colOff>
                <xdr:row>1</xdr:row>
                <xdr:rowOff>209550</xdr:rowOff>
              </to>
            </anchor>
          </controlPr>
        </control>
      </mc:Choice>
      <mc:Fallback>
        <control shapeId="1026" r:id="rId5" name="Label1"/>
      </mc:Fallback>
    </mc:AlternateContent>
    <mc:AlternateContent xmlns:mc="http://schemas.openxmlformats.org/markup-compatibility/2006">
      <mc:Choice Requires="x14">
        <control shapeId="1029" r:id="rId7" name="TextBox1">
          <controlPr defaultSize="0" r:id="rId8">
            <anchor moveWithCells="1">
              <from>
                <xdr:col>8</xdr:col>
                <xdr:colOff>495300</xdr:colOff>
                <xdr:row>0</xdr:row>
                <xdr:rowOff>133350</xdr:rowOff>
              </from>
              <to>
                <xdr:col>9</xdr:col>
                <xdr:colOff>152400</xdr:colOff>
                <xdr:row>1</xdr:row>
                <xdr:rowOff>228600</xdr:rowOff>
              </to>
            </anchor>
          </controlPr>
        </control>
      </mc:Choice>
      <mc:Fallback>
        <control shapeId="1029" r:id="rId7" name="TextBox1"/>
      </mc:Fallback>
    </mc:AlternateContent>
    <mc:AlternateContent xmlns:mc="http://schemas.openxmlformats.org/markup-compatibility/2006">
      <mc:Choice Requires="x14">
        <control shapeId="1030" r:id="rId9" name="btnUpdate">
          <controlPr defaultSize="0" r:id="rId10">
            <anchor moveWithCells="1">
              <from>
                <xdr:col>9</xdr:col>
                <xdr:colOff>1200150</xdr:colOff>
                <xdr:row>0</xdr:row>
                <xdr:rowOff>123825</xdr:rowOff>
              </from>
              <to>
                <xdr:col>10</xdr:col>
                <xdr:colOff>171450</xdr:colOff>
                <xdr:row>1</xdr:row>
                <xdr:rowOff>238125</xdr:rowOff>
              </to>
            </anchor>
          </controlPr>
        </control>
      </mc:Choice>
      <mc:Fallback>
        <control shapeId="1030" r:id="rId9" name="btnUpdate"/>
      </mc:Fallback>
    </mc:AlternateContent>
    <mc:AlternateContent xmlns:mc="http://schemas.openxmlformats.org/markup-compatibility/2006">
      <mc:Choice Requires="x14">
        <control shapeId="1032" r:id="rId11" name="Label2">
          <controlPr defaultSize="0" r:id="rId12">
            <anchor moveWithCells="1">
              <from>
                <xdr:col>7</xdr:col>
                <xdr:colOff>561975</xdr:colOff>
                <xdr:row>2</xdr:row>
                <xdr:rowOff>57150</xdr:rowOff>
              </from>
              <to>
                <xdr:col>9</xdr:col>
                <xdr:colOff>504825</xdr:colOff>
                <xdr:row>3</xdr:row>
                <xdr:rowOff>142875</xdr:rowOff>
              </to>
            </anchor>
          </controlPr>
        </control>
      </mc:Choice>
      <mc:Fallback>
        <control shapeId="1032" r:id="rId11" name="Label2"/>
      </mc:Fallback>
    </mc:AlternateContent>
    <mc:AlternateContent xmlns:mc="http://schemas.openxmlformats.org/markup-compatibility/2006">
      <mc:Choice Requires="x14">
        <control shapeId="1033" r:id="rId13" name="field1">
          <controlPr defaultSize="0" r:id="rId14">
            <anchor moveWithCells="1">
              <from>
                <xdr:col>9</xdr:col>
                <xdr:colOff>533400</xdr:colOff>
                <xdr:row>2</xdr:row>
                <xdr:rowOff>19050</xdr:rowOff>
              </from>
              <to>
                <xdr:col>9</xdr:col>
                <xdr:colOff>1476375</xdr:colOff>
                <xdr:row>3</xdr:row>
                <xdr:rowOff>76200</xdr:rowOff>
              </to>
            </anchor>
          </controlPr>
        </control>
      </mc:Choice>
      <mc:Fallback>
        <control shapeId="1033" r:id="rId13" name="field1"/>
      </mc:Fallback>
    </mc:AlternateContent>
    <mc:AlternateContent xmlns:mc="http://schemas.openxmlformats.org/markup-compatibility/2006">
      <mc:Choice Requires="x14">
        <control shapeId="1034" r:id="rId15" name="Label3">
          <controlPr defaultSize="0" r:id="rId16">
            <anchor moveWithCells="1">
              <from>
                <xdr:col>8</xdr:col>
                <xdr:colOff>0</xdr:colOff>
                <xdr:row>3</xdr:row>
                <xdr:rowOff>238125</xdr:rowOff>
              </from>
              <to>
                <xdr:col>9</xdr:col>
                <xdr:colOff>552450</xdr:colOff>
                <xdr:row>4</xdr:row>
                <xdr:rowOff>219075</xdr:rowOff>
              </to>
            </anchor>
          </controlPr>
        </control>
      </mc:Choice>
      <mc:Fallback>
        <control shapeId="1034" r:id="rId15" name="Label3"/>
      </mc:Fallback>
    </mc:AlternateContent>
    <mc:AlternateContent xmlns:mc="http://schemas.openxmlformats.org/markup-compatibility/2006">
      <mc:Choice Requires="x14">
        <control shapeId="1035" r:id="rId17" name="field2">
          <controlPr defaultSize="0" r:id="rId18">
            <anchor moveWithCells="1">
              <from>
                <xdr:col>9</xdr:col>
                <xdr:colOff>533400</xdr:colOff>
                <xdr:row>3</xdr:row>
                <xdr:rowOff>200025</xdr:rowOff>
              </from>
              <to>
                <xdr:col>9</xdr:col>
                <xdr:colOff>1485900</xdr:colOff>
                <xdr:row>4</xdr:row>
                <xdr:rowOff>180975</xdr:rowOff>
              </to>
            </anchor>
          </controlPr>
        </control>
      </mc:Choice>
      <mc:Fallback>
        <control shapeId="1035" r:id="rId17" name="field2"/>
      </mc:Fallback>
    </mc:AlternateContent>
    <mc:AlternateContent xmlns:mc="http://schemas.openxmlformats.org/markup-compatibility/2006">
      <mc:Choice Requires="x14">
        <control shapeId="1036" r:id="rId19" name="Label4">
          <controlPr defaultSize="0" r:id="rId20">
            <anchor moveWithCells="1">
              <from>
                <xdr:col>7</xdr:col>
                <xdr:colOff>514350</xdr:colOff>
                <xdr:row>5</xdr:row>
                <xdr:rowOff>66675</xdr:rowOff>
              </from>
              <to>
                <xdr:col>9</xdr:col>
                <xdr:colOff>552450</xdr:colOff>
                <xdr:row>5</xdr:row>
                <xdr:rowOff>285750</xdr:rowOff>
              </to>
            </anchor>
          </controlPr>
        </control>
      </mc:Choice>
      <mc:Fallback>
        <control shapeId="1036" r:id="rId19" name="Label4"/>
      </mc:Fallback>
    </mc:AlternateContent>
    <mc:AlternateContent xmlns:mc="http://schemas.openxmlformats.org/markup-compatibility/2006">
      <mc:Choice Requires="x14">
        <control shapeId="1038" r:id="rId21" name="CommandButton1">
          <controlPr defaultSize="0" r:id="rId22">
            <anchor moveWithCells="1">
              <from>
                <xdr:col>9</xdr:col>
                <xdr:colOff>2019300</xdr:colOff>
                <xdr:row>4</xdr:row>
                <xdr:rowOff>66675</xdr:rowOff>
              </from>
              <to>
                <xdr:col>10</xdr:col>
                <xdr:colOff>238125</xdr:colOff>
                <xdr:row>5</xdr:row>
                <xdr:rowOff>123825</xdr:rowOff>
              </to>
            </anchor>
          </controlPr>
        </control>
      </mc:Choice>
      <mc:Fallback>
        <control shapeId="1038" r:id="rId21" name="CommandButton1"/>
      </mc:Fallback>
    </mc:AlternateContent>
    <mc:AlternateContent xmlns:mc="http://schemas.openxmlformats.org/markup-compatibility/2006">
      <mc:Choice Requires="x14">
        <control shapeId="1039" r:id="rId23" name="lab">
          <controlPr defaultSize="0" r:id="rId24">
            <anchor moveWithCells="1">
              <from>
                <xdr:col>9</xdr:col>
                <xdr:colOff>1362075</xdr:colOff>
                <xdr:row>5</xdr:row>
                <xdr:rowOff>57150</xdr:rowOff>
              </from>
              <to>
                <xdr:col>9</xdr:col>
                <xdr:colOff>1438275</xdr:colOff>
                <xdr:row>5</xdr:row>
                <xdr:rowOff>219075</xdr:rowOff>
              </to>
            </anchor>
          </controlPr>
        </control>
      </mc:Choice>
      <mc:Fallback>
        <control shapeId="1039" r:id="rId23" name="lab"/>
      </mc:Fallback>
    </mc:AlternateContent>
    <mc:AlternateContent xmlns:mc="http://schemas.openxmlformats.org/markup-compatibility/2006">
      <mc:Choice Requires="x14">
        <control shapeId="1040" r:id="rId25" name="typeLength">
          <controlPr defaultSize="0" r:id="rId26">
            <anchor moveWithCells="1">
              <from>
                <xdr:col>9</xdr:col>
                <xdr:colOff>1466850</xdr:colOff>
                <xdr:row>5</xdr:row>
                <xdr:rowOff>38100</xdr:rowOff>
              </from>
              <to>
                <xdr:col>9</xdr:col>
                <xdr:colOff>1857375</xdr:colOff>
                <xdr:row>5</xdr:row>
                <xdr:rowOff>257175</xdr:rowOff>
              </to>
            </anchor>
          </controlPr>
        </control>
      </mc:Choice>
      <mc:Fallback>
        <control shapeId="1040" r:id="rId25" name="typeLength"/>
      </mc:Fallback>
    </mc:AlternateContent>
    <mc:AlternateContent xmlns:mc="http://schemas.openxmlformats.org/markup-compatibility/2006">
      <mc:Choice Requires="x14">
        <control shapeId="1041" r:id="rId27" name="ComboBox1">
          <controlPr defaultSize="0" r:id="rId28">
            <anchor moveWithCells="1">
              <from>
                <xdr:col>9</xdr:col>
                <xdr:colOff>523875</xdr:colOff>
                <xdr:row>5</xdr:row>
                <xdr:rowOff>38100</xdr:rowOff>
              </from>
              <to>
                <xdr:col>9</xdr:col>
                <xdr:colOff>1352550</xdr:colOff>
                <xdr:row>5</xdr:row>
                <xdr:rowOff>276225</xdr:rowOff>
              </to>
            </anchor>
          </controlPr>
        </control>
      </mc:Choice>
      <mc:Fallback>
        <control shapeId="1041" r:id="rId27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27"/>
  <sheetViews>
    <sheetView workbookViewId="0">
      <selection activeCell="A25" sqref="$A25:$XFD25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/>
      <c r="C2" s="4"/>
      <c r="D2" s="4"/>
      <c r="E2" s="3" t="s">
        <v>40</v>
      </c>
      <c r="F2" s="3"/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/>
      <c r="B4" s="6"/>
      <c r="C4" s="6"/>
      <c r="D4" s="6"/>
      <c r="E4" s="6" t="s">
        <v>49</v>
      </c>
      <c r="F4" s="6" t="s">
        <v>50</v>
      </c>
      <c r="G4" s="6"/>
      <c r="H4" s="6"/>
      <c r="I4" s="6" t="s">
        <v>51</v>
      </c>
    </row>
    <row r="5" spans="1:9">
      <c r="A5" s="7"/>
      <c r="B5" s="7"/>
      <c r="C5" s="6"/>
      <c r="D5" s="7"/>
      <c r="E5" s="6"/>
      <c r="F5" s="6"/>
      <c r="G5" s="6"/>
      <c r="H5" s="6"/>
      <c r="I5" s="7"/>
    </row>
    <row r="6" spans="1:9">
      <c r="A6" s="7"/>
      <c r="B6" s="7"/>
      <c r="C6" s="6"/>
      <c r="D6" s="7"/>
      <c r="E6" s="6"/>
      <c r="F6" s="6"/>
      <c r="G6" s="6"/>
      <c r="H6" s="6"/>
      <c r="I6" s="7"/>
    </row>
    <row r="7" spans="1:9">
      <c r="A7" s="7"/>
      <c r="B7" s="7"/>
      <c r="C7" s="6"/>
      <c r="D7" s="7"/>
      <c r="E7" s="6"/>
      <c r="F7" s="6"/>
      <c r="G7" s="6"/>
      <c r="H7" s="6"/>
      <c r="I7" s="7"/>
    </row>
    <row r="8" spans="1:9">
      <c r="A8" s="7"/>
      <c r="B8" s="7"/>
      <c r="C8" s="6"/>
      <c r="D8" s="7"/>
      <c r="E8" s="6"/>
      <c r="F8" s="6"/>
      <c r="G8" s="6"/>
      <c r="H8" s="6"/>
      <c r="I8" s="7"/>
    </row>
    <row r="9" spans="1:9">
      <c r="A9" s="7"/>
      <c r="B9" s="7"/>
      <c r="C9" s="6"/>
      <c r="D9" s="7"/>
      <c r="E9" s="6"/>
      <c r="F9" s="6"/>
      <c r="G9" s="6"/>
      <c r="H9" s="6"/>
      <c r="I9" s="7"/>
    </row>
    <row r="10" spans="1:9">
      <c r="A10" s="7"/>
      <c r="B10" s="7"/>
      <c r="C10" s="6"/>
      <c r="D10" s="7"/>
      <c r="E10" s="6"/>
      <c r="F10" s="6"/>
      <c r="G10" s="6"/>
      <c r="H10" s="6"/>
      <c r="I10" s="7"/>
    </row>
    <row r="11" spans="1:9">
      <c r="A11" s="7"/>
      <c r="B11" s="7"/>
      <c r="C11" s="6"/>
      <c r="D11" s="7"/>
      <c r="E11" s="6"/>
      <c r="F11" s="6"/>
      <c r="G11" s="6"/>
      <c r="H11" s="6"/>
      <c r="I11" s="7"/>
    </row>
    <row r="12" spans="1:9">
      <c r="A12" s="7"/>
      <c r="B12" s="7"/>
      <c r="C12" s="6"/>
      <c r="D12" s="7"/>
      <c r="E12" s="6"/>
      <c r="F12" s="6"/>
      <c r="G12" s="6"/>
      <c r="H12" s="6"/>
      <c r="I12" s="7"/>
    </row>
    <row r="13" spans="1:9">
      <c r="A13" s="7"/>
      <c r="B13" s="7"/>
      <c r="C13" s="6"/>
      <c r="D13" s="7"/>
      <c r="E13" s="6"/>
      <c r="F13" s="6"/>
      <c r="G13" s="6"/>
      <c r="H13" s="6"/>
      <c r="I13" s="7"/>
    </row>
    <row r="14" spans="1:9">
      <c r="A14" s="7"/>
      <c r="B14" s="7"/>
      <c r="C14" s="6"/>
      <c r="D14" s="7"/>
      <c r="E14" s="6"/>
      <c r="F14" s="6"/>
      <c r="G14" s="6"/>
      <c r="H14" s="6"/>
      <c r="I14" s="7"/>
    </row>
    <row r="15" spans="1:9">
      <c r="A15" s="22" t="s">
        <v>52</v>
      </c>
      <c r="B15" s="22" t="s">
        <v>53</v>
      </c>
      <c r="C15" s="6" t="s">
        <v>54</v>
      </c>
      <c r="D15" s="23">
        <v>1</v>
      </c>
      <c r="E15" s="6"/>
      <c r="F15" s="6"/>
      <c r="G15" s="6">
        <v>0</v>
      </c>
      <c r="H15" s="6"/>
      <c r="I15" s="24" t="s">
        <v>55</v>
      </c>
    </row>
    <row r="16" spans="1:9">
      <c r="A16" s="9" t="s">
        <v>56</v>
      </c>
      <c r="B16" s="9" t="s">
        <v>57</v>
      </c>
      <c r="C16" s="9" t="s">
        <v>54</v>
      </c>
      <c r="D16" s="9">
        <v>1</v>
      </c>
      <c r="E16" s="8"/>
      <c r="F16" s="9"/>
      <c r="G16" s="10">
        <v>0</v>
      </c>
      <c r="H16" s="10"/>
      <c r="I16" s="8" t="s">
        <v>58</v>
      </c>
    </row>
    <row r="17" spans="1:9">
      <c r="A17" s="9" t="s">
        <v>59</v>
      </c>
      <c r="B17" s="14" t="s">
        <v>60</v>
      </c>
      <c r="C17" s="8" t="s">
        <v>61</v>
      </c>
      <c r="D17" s="9"/>
      <c r="E17" s="8"/>
      <c r="F17" s="9"/>
      <c r="G17" s="10"/>
      <c r="H17" s="10"/>
      <c r="I17" s="14" t="s">
        <v>62</v>
      </c>
    </row>
    <row r="18" spans="1:9">
      <c r="A18" s="8" t="s">
        <v>63</v>
      </c>
      <c r="B18" s="8" t="s">
        <v>64</v>
      </c>
      <c r="C18" s="8" t="s">
        <v>61</v>
      </c>
      <c r="D18" s="9"/>
      <c r="E18" s="8"/>
      <c r="F18" s="9"/>
      <c r="G18" s="10"/>
      <c r="H18" s="10"/>
      <c r="I18" s="8" t="s">
        <v>65</v>
      </c>
    </row>
    <row r="19" ht="24" spans="1:9">
      <c r="A19" s="9" t="s">
        <v>66</v>
      </c>
      <c r="B19" s="8" t="s">
        <v>67</v>
      </c>
      <c r="C19" s="8" t="s">
        <v>54</v>
      </c>
      <c r="D19" s="9">
        <v>8</v>
      </c>
      <c r="E19" s="8"/>
      <c r="F19" s="9"/>
      <c r="G19" s="10"/>
      <c r="H19" s="10"/>
      <c r="I19" s="8" t="s">
        <v>68</v>
      </c>
    </row>
    <row r="20" ht="24" spans="1:9">
      <c r="A20" s="9" t="s">
        <v>69</v>
      </c>
      <c r="B20" s="8" t="s">
        <v>70</v>
      </c>
      <c r="C20" s="8" t="s">
        <v>54</v>
      </c>
      <c r="D20" s="9">
        <v>8</v>
      </c>
      <c r="E20" s="8"/>
      <c r="F20" s="9"/>
      <c r="G20" s="10"/>
      <c r="H20" s="10"/>
      <c r="I20" s="8" t="s">
        <v>71</v>
      </c>
    </row>
    <row r="21" spans="1:9">
      <c r="A21" s="9" t="s">
        <v>72</v>
      </c>
      <c r="B21" s="8" t="s">
        <v>73</v>
      </c>
      <c r="C21" s="8" t="s">
        <v>74</v>
      </c>
      <c r="D21" s="9">
        <v>36</v>
      </c>
      <c r="E21" s="8"/>
      <c r="F21" s="9"/>
      <c r="G21" s="10"/>
      <c r="H21" s="10"/>
      <c r="I21" s="8" t="s">
        <v>75</v>
      </c>
    </row>
    <row r="22" spans="1:9">
      <c r="A22" s="9" t="s">
        <v>76</v>
      </c>
      <c r="B22" s="8" t="s">
        <v>74</v>
      </c>
      <c r="C22" s="8" t="s">
        <v>74</v>
      </c>
      <c r="D22" s="9">
        <v>36</v>
      </c>
      <c r="E22" s="8"/>
      <c r="F22" s="9"/>
      <c r="G22" s="10"/>
      <c r="H22" s="10"/>
      <c r="I22" s="8" t="s">
        <v>77</v>
      </c>
    </row>
    <row r="23" spans="1:9">
      <c r="A23" s="9" t="s">
        <v>78</v>
      </c>
      <c r="B23" s="8" t="s">
        <v>79</v>
      </c>
      <c r="C23" s="8" t="s">
        <v>74</v>
      </c>
      <c r="D23" s="9">
        <v>36</v>
      </c>
      <c r="E23" s="8"/>
      <c r="F23" s="9"/>
      <c r="G23" s="10"/>
      <c r="H23" s="10"/>
      <c r="I23" s="14" t="s">
        <v>80</v>
      </c>
    </row>
    <row r="24" spans="1:9">
      <c r="A24" s="9" t="s">
        <v>81</v>
      </c>
      <c r="B24" s="8" t="s">
        <v>82</v>
      </c>
      <c r="C24" s="8" t="s">
        <v>74</v>
      </c>
      <c r="D24" s="9">
        <v>36</v>
      </c>
      <c r="E24" s="8"/>
      <c r="F24" s="9"/>
      <c r="G24" s="10"/>
      <c r="H24" s="10"/>
      <c r="I24" s="14" t="s">
        <v>83</v>
      </c>
    </row>
    <row r="25" ht="24" spans="1:9">
      <c r="A25" s="9" t="s">
        <v>84</v>
      </c>
      <c r="B25" s="8" t="s">
        <v>85</v>
      </c>
      <c r="C25" s="8" t="s">
        <v>74</v>
      </c>
      <c r="D25" s="9">
        <v>36</v>
      </c>
      <c r="E25" s="8"/>
      <c r="F25" s="9"/>
      <c r="G25" s="10"/>
      <c r="H25" s="10"/>
      <c r="I25" s="20" t="s">
        <v>86</v>
      </c>
    </row>
    <row r="26" spans="1:9">
      <c r="A26" s="9" t="s">
        <v>5</v>
      </c>
      <c r="B26" s="13" t="s">
        <v>87</v>
      </c>
      <c r="C26" s="13" t="s">
        <v>88</v>
      </c>
      <c r="D26" s="13">
        <v>500</v>
      </c>
      <c r="E26" s="20"/>
      <c r="F26" s="13"/>
      <c r="G26" s="15"/>
      <c r="H26" s="15"/>
      <c r="I26" s="16"/>
    </row>
    <row r="27" ht="87.95" customHeight="1" spans="1:9">
      <c r="A27" s="11" t="s">
        <v>89</v>
      </c>
      <c r="B27" s="12"/>
      <c r="C27" s="12"/>
      <c r="D27" s="12"/>
      <c r="E27" s="12"/>
      <c r="F27" s="12"/>
      <c r="G27" s="12"/>
      <c r="H27" s="12"/>
      <c r="I27" s="12"/>
    </row>
  </sheetData>
  <mergeCells count="3">
    <mergeCell ref="B2:C2"/>
    <mergeCell ref="F2:I2"/>
    <mergeCell ref="B27:I27"/>
  </mergeCells>
  <dataValidations count="3">
    <dataValidation type="list" allowBlank="1" showInputMessage="1" showErrorMessage="1" sqref="C16 C17 C18 C19 C20 C25 C4:C15 C21:C24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16"/>
  <sheetViews>
    <sheetView workbookViewId="0">
      <selection activeCell="I11" sqref="I1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7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9</v>
      </c>
      <c r="C2" s="4"/>
      <c r="D2" s="4"/>
      <c r="E2" s="3" t="s">
        <v>40</v>
      </c>
      <c r="F2" s="3" t="s">
        <v>10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91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18"/>
      <c r="I4" s="6" t="s">
        <v>92</v>
      </c>
    </row>
    <row r="5" spans="1:9">
      <c r="A5" s="6" t="s">
        <v>93</v>
      </c>
      <c r="B5" s="6" t="s">
        <v>94</v>
      </c>
      <c r="C5" s="6" t="s">
        <v>88</v>
      </c>
      <c r="D5" s="6">
        <v>20</v>
      </c>
      <c r="E5" s="6" t="s">
        <v>95</v>
      </c>
      <c r="F5" s="6" t="s">
        <v>50</v>
      </c>
      <c r="G5" s="6"/>
      <c r="H5" s="18"/>
      <c r="I5" s="6" t="s">
        <v>96</v>
      </c>
    </row>
    <row r="6" spans="1:9">
      <c r="A6" s="6" t="s">
        <v>97</v>
      </c>
      <c r="B6" s="6" t="s">
        <v>98</v>
      </c>
      <c r="C6" s="6" t="s">
        <v>88</v>
      </c>
      <c r="D6" s="6">
        <v>2</v>
      </c>
      <c r="E6" s="6"/>
      <c r="F6" s="6"/>
      <c r="G6" s="6"/>
      <c r="H6" s="18"/>
      <c r="I6" s="6"/>
    </row>
    <row r="7" spans="1:9">
      <c r="A7" s="7" t="s">
        <v>99</v>
      </c>
      <c r="B7" s="7" t="s">
        <v>100</v>
      </c>
      <c r="C7" s="6" t="s">
        <v>88</v>
      </c>
      <c r="D7" s="7">
        <v>40</v>
      </c>
      <c r="E7" s="6"/>
      <c r="F7" s="6" t="s">
        <v>50</v>
      </c>
      <c r="G7" s="6"/>
      <c r="H7" s="21"/>
      <c r="I7" s="7"/>
    </row>
    <row r="8" spans="1:9">
      <c r="A8" s="7" t="s">
        <v>101</v>
      </c>
      <c r="B8" s="7" t="s">
        <v>102</v>
      </c>
      <c r="C8" s="6" t="s">
        <v>88</v>
      </c>
      <c r="D8" s="7">
        <v>32</v>
      </c>
      <c r="E8" s="6"/>
      <c r="F8" s="6" t="s">
        <v>50</v>
      </c>
      <c r="G8" s="6"/>
      <c r="H8" s="6"/>
      <c r="I8" s="7"/>
    </row>
    <row r="9" spans="1:9">
      <c r="A9" s="7" t="s">
        <v>103</v>
      </c>
      <c r="B9" s="7" t="s">
        <v>104</v>
      </c>
      <c r="C9" s="6" t="s">
        <v>54</v>
      </c>
      <c r="D9" s="7">
        <v>1</v>
      </c>
      <c r="E9" s="6"/>
      <c r="F9" s="6"/>
      <c r="G9" s="6">
        <v>0</v>
      </c>
      <c r="H9" s="6"/>
      <c r="I9" s="7" t="s">
        <v>105</v>
      </c>
    </row>
    <row r="10" spans="1:9">
      <c r="A10" s="19" t="s">
        <v>106</v>
      </c>
      <c r="B10" s="7" t="s">
        <v>107</v>
      </c>
      <c r="C10" s="6" t="s">
        <v>54</v>
      </c>
      <c r="D10" s="19">
        <v>1</v>
      </c>
      <c r="E10" s="6"/>
      <c r="F10" s="19"/>
      <c r="G10" s="19">
        <v>0</v>
      </c>
      <c r="H10" s="19"/>
      <c r="I10" s="7" t="s">
        <v>108</v>
      </c>
    </row>
    <row r="11" spans="1:9">
      <c r="A11" s="9" t="s">
        <v>59</v>
      </c>
      <c r="B11" s="14" t="s">
        <v>60</v>
      </c>
      <c r="C11" s="8" t="s">
        <v>61</v>
      </c>
      <c r="D11" s="9"/>
      <c r="E11" s="8"/>
      <c r="F11" s="9" t="s">
        <v>50</v>
      </c>
      <c r="G11" s="10"/>
      <c r="H11" s="10"/>
      <c r="I11" s="14" t="s">
        <v>62</v>
      </c>
    </row>
    <row r="12" spans="1:9">
      <c r="A12" s="8" t="s">
        <v>63</v>
      </c>
      <c r="B12" s="8" t="s">
        <v>64</v>
      </c>
      <c r="C12" s="8" t="s">
        <v>61</v>
      </c>
      <c r="D12" s="9"/>
      <c r="E12" s="8"/>
      <c r="F12" s="9" t="s">
        <v>50</v>
      </c>
      <c r="G12" s="10"/>
      <c r="H12" s="10"/>
      <c r="I12" s="8" t="s">
        <v>65</v>
      </c>
    </row>
    <row r="13" ht="24" spans="1:9">
      <c r="A13" s="9" t="s">
        <v>66</v>
      </c>
      <c r="B13" s="8" t="s">
        <v>67</v>
      </c>
      <c r="C13" s="8" t="s">
        <v>54</v>
      </c>
      <c r="D13" s="9">
        <v>8</v>
      </c>
      <c r="E13" s="8"/>
      <c r="F13" s="9" t="s">
        <v>50</v>
      </c>
      <c r="G13" s="10"/>
      <c r="H13" s="10"/>
      <c r="I13" s="8" t="s">
        <v>68</v>
      </c>
    </row>
    <row r="14" ht="24" spans="1:9">
      <c r="A14" s="9" t="s">
        <v>69</v>
      </c>
      <c r="B14" s="8" t="s">
        <v>70</v>
      </c>
      <c r="C14" s="8" t="s">
        <v>54</v>
      </c>
      <c r="D14" s="9">
        <v>8</v>
      </c>
      <c r="E14" s="8"/>
      <c r="F14" s="9" t="s">
        <v>50</v>
      </c>
      <c r="G14" s="10"/>
      <c r="H14" s="10"/>
      <c r="I14" s="8" t="s">
        <v>71</v>
      </c>
    </row>
    <row r="15" spans="1:9">
      <c r="A15" s="9" t="s">
        <v>5</v>
      </c>
      <c r="B15" s="13" t="s">
        <v>87</v>
      </c>
      <c r="C15" s="13" t="s">
        <v>88</v>
      </c>
      <c r="D15" s="13">
        <v>500</v>
      </c>
      <c r="E15" s="20"/>
      <c r="F15" s="13"/>
      <c r="G15" s="15"/>
      <c r="H15" s="15"/>
      <c r="I15" s="16"/>
    </row>
    <row r="16" ht="87.95" customHeight="1" spans="1:9">
      <c r="A16" s="11" t="s">
        <v>89</v>
      </c>
      <c r="B16" s="12"/>
      <c r="C16" s="12"/>
      <c r="D16" s="12"/>
      <c r="E16" s="12"/>
      <c r="F16" s="12"/>
      <c r="G16" s="12"/>
      <c r="H16" s="12"/>
      <c r="I16" s="12"/>
    </row>
  </sheetData>
  <mergeCells count="3">
    <mergeCell ref="B2:C2"/>
    <mergeCell ref="F2:I2"/>
    <mergeCell ref="B16:I16"/>
  </mergeCells>
  <dataValidations count="3">
    <dataValidation type="list" allowBlank="1" showInputMessage="1" showErrorMessage="1" sqref="C4 C5 C6 C10 C11 C12 C13 C14 C7:C9">
      <formula1>"uuid,string,integer,long,double,float,boolean,date,timestamp,binary,clob,String[],Object[],byte[]"</formula1>
    </dataValidation>
    <dataValidation type="list" allowBlank="1" showInputMessage="1" showErrorMessage="1" sqref="E4 E5 E6 E10 E15 E7:E9 E11:E14">
      <formula1>"PK,UK,FK,PK|FK,FK|UK,UUK1,UUK2,UUK3,UUK4,UUK1|UUK2,UUK1|UUK2|UUK3,UUK1|UUK2|UUK3|UUK4,FK|UUK1,FK|UUK2"</formula1>
    </dataValidation>
    <dataValidation type="list" allowBlank="1" showInputMessage="1" showErrorMessage="1" sqref="F4 F5 F6 F10 F11 F12 F13 F14 F7:F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I8"/>
  <sheetViews>
    <sheetView workbookViewId="0">
      <selection activeCell="B4" sqref="B4"/>
    </sheetView>
  </sheetViews>
  <sheetFormatPr defaultColWidth="9" defaultRowHeight="14.25" outlineLevelRow="7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12</v>
      </c>
      <c r="C2" s="4"/>
      <c r="D2" s="4"/>
      <c r="E2" s="3" t="s">
        <v>40</v>
      </c>
      <c r="F2" s="3" t="s">
        <v>13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109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6"/>
      <c r="I4" s="6" t="s">
        <v>110</v>
      </c>
    </row>
    <row r="5" spans="1:9">
      <c r="A5" s="7" t="s">
        <v>111</v>
      </c>
      <c r="B5" s="7" t="s">
        <v>112</v>
      </c>
      <c r="C5" s="6" t="s">
        <v>113</v>
      </c>
      <c r="D5" s="7"/>
      <c r="E5" s="6"/>
      <c r="F5" s="6"/>
      <c r="G5" s="6"/>
      <c r="H5" s="21"/>
      <c r="I5" s="7"/>
    </row>
    <row r="6" spans="1:9">
      <c r="A6" s="7" t="s">
        <v>114</v>
      </c>
      <c r="B6" s="7" t="s">
        <v>115</v>
      </c>
      <c r="C6" s="6" t="s">
        <v>88</v>
      </c>
      <c r="D6" s="7">
        <v>20</v>
      </c>
      <c r="E6" s="6"/>
      <c r="F6" s="6"/>
      <c r="G6" s="6"/>
      <c r="H6" s="6"/>
      <c r="I6" s="7" t="s">
        <v>116</v>
      </c>
    </row>
    <row r="7" spans="1:9">
      <c r="A7" s="9" t="s">
        <v>5</v>
      </c>
      <c r="B7" s="13" t="s">
        <v>87</v>
      </c>
      <c r="C7" s="13" t="s">
        <v>88</v>
      </c>
      <c r="D7" s="13">
        <v>500</v>
      </c>
      <c r="E7" s="20"/>
      <c r="F7" s="13"/>
      <c r="G7" s="15"/>
      <c r="H7" s="15"/>
      <c r="I7" s="16"/>
    </row>
    <row r="8" ht="87.95" customHeight="1" spans="1:9">
      <c r="A8" s="11" t="s">
        <v>89</v>
      </c>
      <c r="B8" s="12"/>
      <c r="C8" s="12"/>
      <c r="D8" s="12"/>
      <c r="E8" s="12"/>
      <c r="F8" s="12"/>
      <c r="G8" s="12"/>
      <c r="H8" s="12"/>
      <c r="I8" s="12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4 E7 E5:E6">
      <formula1>"PK,UK,FK,PK|FK,FK|UK,UUK1,UUK2,UUK3,UUK4,UUK1|UUK2,UUK1|UUK2|UUK3,UUK1|UUK2|UUK3|UUK4,FK|UUK1,FK|UUK2"</formula1>
    </dataValidation>
    <dataValidation type="list" allowBlank="1" showInputMessage="1" showErrorMessage="1" sqref="F4 F5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I9"/>
  <sheetViews>
    <sheetView workbookViewId="0">
      <selection activeCell="A6" sqref="$A6:$XFD6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14</v>
      </c>
      <c r="C2" s="4"/>
      <c r="D2" s="4"/>
      <c r="E2" s="3" t="s">
        <v>40</v>
      </c>
      <c r="F2" s="3" t="s">
        <v>15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117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6"/>
      <c r="I4" s="6" t="s">
        <v>51</v>
      </c>
    </row>
    <row r="5" spans="1:9">
      <c r="A5" s="6" t="s">
        <v>118</v>
      </c>
      <c r="B5" s="6" t="s">
        <v>91</v>
      </c>
      <c r="C5" s="6" t="s">
        <v>74</v>
      </c>
      <c r="D5" s="6">
        <v>36</v>
      </c>
      <c r="E5" s="6" t="s">
        <v>119</v>
      </c>
      <c r="F5" s="6" t="s">
        <v>50</v>
      </c>
      <c r="G5" s="6"/>
      <c r="H5" s="6" t="s">
        <v>120</v>
      </c>
      <c r="I5" s="6" t="s">
        <v>51</v>
      </c>
    </row>
    <row r="6" spans="1:9">
      <c r="A6" s="7" t="s">
        <v>121</v>
      </c>
      <c r="B6" s="7" t="s">
        <v>122</v>
      </c>
      <c r="C6" s="6" t="s">
        <v>88</v>
      </c>
      <c r="D6" s="7">
        <v>40</v>
      </c>
      <c r="E6" s="6" t="s">
        <v>95</v>
      </c>
      <c r="F6" s="6" t="s">
        <v>50</v>
      </c>
      <c r="G6" s="6"/>
      <c r="H6" s="6"/>
      <c r="I6" s="7" t="s">
        <v>123</v>
      </c>
    </row>
    <row r="7" spans="1:9">
      <c r="A7" s="9" t="s">
        <v>59</v>
      </c>
      <c r="B7" s="14" t="s">
        <v>60</v>
      </c>
      <c r="C7" s="8" t="s">
        <v>61</v>
      </c>
      <c r="D7" s="9"/>
      <c r="E7" s="8"/>
      <c r="F7" s="9" t="s">
        <v>50</v>
      </c>
      <c r="G7" s="10"/>
      <c r="H7" s="10"/>
      <c r="I7" s="14" t="s">
        <v>62</v>
      </c>
    </row>
    <row r="8" ht="24" spans="1:9">
      <c r="A8" s="9" t="s">
        <v>66</v>
      </c>
      <c r="B8" s="8" t="s">
        <v>67</v>
      </c>
      <c r="C8" s="8" t="s">
        <v>54</v>
      </c>
      <c r="D8" s="9">
        <v>8</v>
      </c>
      <c r="E8" s="8"/>
      <c r="F8" s="9" t="s">
        <v>50</v>
      </c>
      <c r="G8" s="10"/>
      <c r="H8" s="10"/>
      <c r="I8" s="8" t="s">
        <v>68</v>
      </c>
    </row>
    <row r="9" ht="87.95" customHeight="1" spans="1:9">
      <c r="A9" s="11" t="s">
        <v>89</v>
      </c>
      <c r="B9" s="12"/>
      <c r="C9" s="12"/>
      <c r="D9" s="12"/>
      <c r="E9" s="12"/>
      <c r="F9" s="12"/>
      <c r="G9" s="12"/>
      <c r="H9" s="12"/>
      <c r="I9" s="12"/>
    </row>
  </sheetData>
  <mergeCells count="3">
    <mergeCell ref="B2:C2"/>
    <mergeCell ref="F2:I2"/>
    <mergeCell ref="B9:I9"/>
  </mergeCells>
  <dataValidations count="3">
    <dataValidation type="list" allowBlank="1" showInputMessage="1" showErrorMessage="1" sqref="C4 C5 C6 C7 C8">
      <formula1>"uuid,string,integer,long,double,float,boolean,date,timestamp,binary,clob,String[],Object[],byte[]"</formula1>
    </dataValidation>
    <dataValidation type="list" allowBlank="1" showInputMessage="1" showErrorMessage="1" sqref="E4 E5 E6 E7 E8">
      <formula1>"PK,UK,FK,PK|FK,FK|UK,UUK1,UUK2,UUK3,UUK4,UUK1|UUK2,UUK1|UUK2|UUK3,UUK1|UUK2|UUK3|UUK4,FK|UUK1,FK|UUK2"</formula1>
    </dataValidation>
    <dataValidation type="list" allowBlank="1" showInputMessage="1" showErrorMessage="1" sqref="F4 F5 F6 F7 F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I8"/>
  <sheetViews>
    <sheetView workbookViewId="0">
      <selection activeCell="B5" sqref="B5"/>
    </sheetView>
  </sheetViews>
  <sheetFormatPr defaultColWidth="9" defaultRowHeight="14.25" outlineLevelRow="7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7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17</v>
      </c>
      <c r="C2" s="4"/>
      <c r="D2" s="4"/>
      <c r="E2" s="3" t="s">
        <v>40</v>
      </c>
      <c r="F2" s="3" t="s">
        <v>18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124</v>
      </c>
      <c r="B4" s="6" t="s">
        <v>125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6" t="s">
        <v>120</v>
      </c>
      <c r="I4" s="6" t="s">
        <v>120</v>
      </c>
    </row>
    <row r="5" spans="1:9">
      <c r="A5" s="7" t="s">
        <v>126</v>
      </c>
      <c r="B5" s="6" t="s">
        <v>127</v>
      </c>
      <c r="C5" s="6" t="s">
        <v>74</v>
      </c>
      <c r="D5" s="7">
        <v>36</v>
      </c>
      <c r="E5" s="6" t="s">
        <v>49</v>
      </c>
      <c r="F5" s="6" t="s">
        <v>50</v>
      </c>
      <c r="G5" s="6"/>
      <c r="H5" s="6" t="s">
        <v>120</v>
      </c>
      <c r="I5" s="6" t="s">
        <v>120</v>
      </c>
    </row>
    <row r="6" spans="1:9">
      <c r="A6" s="9" t="s">
        <v>59</v>
      </c>
      <c r="B6" s="14" t="s">
        <v>60</v>
      </c>
      <c r="C6" s="8" t="s">
        <v>61</v>
      </c>
      <c r="D6" s="9"/>
      <c r="E6" s="8"/>
      <c r="F6" s="9"/>
      <c r="G6" s="10"/>
      <c r="H6" s="10"/>
      <c r="I6" s="14" t="s">
        <v>62</v>
      </c>
    </row>
    <row r="7" ht="24" spans="1:9">
      <c r="A7" s="9" t="s">
        <v>66</v>
      </c>
      <c r="B7" s="8" t="s">
        <v>67</v>
      </c>
      <c r="C7" s="8" t="s">
        <v>54</v>
      </c>
      <c r="D7" s="9">
        <v>8</v>
      </c>
      <c r="E7" s="8"/>
      <c r="F7" s="9"/>
      <c r="G7" s="10"/>
      <c r="H7" s="10"/>
      <c r="I7" s="8" t="s">
        <v>68</v>
      </c>
    </row>
    <row r="8" ht="87.95" customHeight="1" spans="1:9">
      <c r="A8" s="11" t="s">
        <v>89</v>
      </c>
      <c r="B8" s="12" t="s">
        <v>128</v>
      </c>
      <c r="C8" s="12"/>
      <c r="D8" s="12"/>
      <c r="E8" s="12"/>
      <c r="F8" s="12"/>
      <c r="G8" s="12"/>
      <c r="H8" s="12"/>
      <c r="I8" s="12"/>
    </row>
  </sheetData>
  <mergeCells count="3">
    <mergeCell ref="B2:C2"/>
    <mergeCell ref="F2:I2"/>
    <mergeCell ref="B8:I8"/>
  </mergeCells>
  <dataValidations count="3">
    <dataValidation type="list" allowBlank="1" showInputMessage="1" showErrorMessage="1" sqref="C6 C7 C4:C5">
      <formula1>"uuid,string,integer,long,double,float,boolean,date,timestamp,binary,clob,String[],Object[],byte[]"</formula1>
    </dataValidation>
    <dataValidation type="list" allowBlank="1" showInputMessage="1" showErrorMessage="1" sqref="E6 E7 E4:E5">
      <formula1>"PK,UK,FK,PK|FK,FK|UK,UUK1,UUK2,UUK3,UUK4,UUK1|UUK2,UUK1|UUK2|UUK3,UUK1|UUK2|UUK3|UUK4,FK|UUK1,FK|UUK2"</formula1>
    </dataValidation>
    <dataValidation type="list" allowBlank="1" showInputMessage="1" showErrorMessage="1" sqref="F6 F7 F4:F5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I12"/>
  <sheetViews>
    <sheetView tabSelected="1" workbookViewId="0">
      <selection activeCell="B11" sqref="B1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7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21</v>
      </c>
      <c r="C2" s="4"/>
      <c r="D2" s="4"/>
      <c r="E2" s="3" t="s">
        <v>40</v>
      </c>
      <c r="F2" s="3" t="s">
        <v>22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129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18"/>
      <c r="I4" s="6" t="s">
        <v>51</v>
      </c>
    </row>
    <row r="5" spans="1:9">
      <c r="A5" s="7" t="s">
        <v>130</v>
      </c>
      <c r="B5" s="7" t="s">
        <v>131</v>
      </c>
      <c r="C5" s="6" t="s">
        <v>88</v>
      </c>
      <c r="D5" s="7">
        <v>100</v>
      </c>
      <c r="E5" s="6"/>
      <c r="F5" s="6" t="s">
        <v>50</v>
      </c>
      <c r="G5" s="6"/>
      <c r="H5" s="21"/>
      <c r="I5" s="7"/>
    </row>
    <row r="6" spans="1:9">
      <c r="A6" s="7" t="s">
        <v>132</v>
      </c>
      <c r="B6" s="6" t="s">
        <v>91</v>
      </c>
      <c r="C6" s="6" t="s">
        <v>74</v>
      </c>
      <c r="D6" s="7">
        <v>36</v>
      </c>
      <c r="E6" s="6" t="s">
        <v>119</v>
      </c>
      <c r="F6" s="6" t="s">
        <v>50</v>
      </c>
      <c r="G6" s="6"/>
      <c r="H6" s="6" t="s">
        <v>120</v>
      </c>
      <c r="I6" s="7"/>
    </row>
    <row r="7" ht="24" spans="1:9">
      <c r="A7" s="19" t="s">
        <v>133</v>
      </c>
      <c r="B7" s="6" t="s">
        <v>134</v>
      </c>
      <c r="C7" s="6" t="s">
        <v>54</v>
      </c>
      <c r="D7" s="19">
        <v>1</v>
      </c>
      <c r="E7" s="6"/>
      <c r="F7" s="19"/>
      <c r="G7" s="19">
        <v>5</v>
      </c>
      <c r="H7" s="19"/>
      <c r="I7" s="7" t="s">
        <v>135</v>
      </c>
    </row>
    <row r="8" spans="1:9">
      <c r="A8" s="9" t="s">
        <v>59</v>
      </c>
      <c r="B8" s="14" t="s">
        <v>60</v>
      </c>
      <c r="C8" s="8" t="s">
        <v>61</v>
      </c>
      <c r="D8" s="9"/>
      <c r="E8" s="8"/>
      <c r="F8" s="9" t="s">
        <v>50</v>
      </c>
      <c r="G8" s="10"/>
      <c r="H8" s="10"/>
      <c r="I8" s="14" t="s">
        <v>62</v>
      </c>
    </row>
    <row r="9" ht="24" spans="1:9">
      <c r="A9" s="9" t="s">
        <v>66</v>
      </c>
      <c r="B9" s="8" t="s">
        <v>67</v>
      </c>
      <c r="C9" s="8" t="s">
        <v>54</v>
      </c>
      <c r="D9" s="9">
        <v>8</v>
      </c>
      <c r="E9" s="8"/>
      <c r="F9" s="9" t="s">
        <v>50</v>
      </c>
      <c r="G9" s="10"/>
      <c r="H9" s="10"/>
      <c r="I9" s="8" t="s">
        <v>68</v>
      </c>
    </row>
    <row r="10" ht="24" spans="1:9">
      <c r="A10" s="9" t="s">
        <v>84</v>
      </c>
      <c r="B10" s="8" t="s">
        <v>85</v>
      </c>
      <c r="C10" s="8" t="s">
        <v>74</v>
      </c>
      <c r="D10" s="9">
        <v>36</v>
      </c>
      <c r="E10" s="8"/>
      <c r="F10" s="9"/>
      <c r="G10" s="10"/>
      <c r="H10" s="10"/>
      <c r="I10" s="20" t="s">
        <v>86</v>
      </c>
    </row>
    <row r="11" spans="1:9">
      <c r="A11" s="9" t="s">
        <v>5</v>
      </c>
      <c r="B11" s="13" t="s">
        <v>87</v>
      </c>
      <c r="C11" s="13" t="s">
        <v>88</v>
      </c>
      <c r="D11" s="13">
        <v>500</v>
      </c>
      <c r="E11" s="20"/>
      <c r="F11" s="13"/>
      <c r="G11" s="15"/>
      <c r="H11" s="15"/>
      <c r="I11" s="16"/>
    </row>
    <row r="12" ht="87.95" customHeight="1" spans="1:9">
      <c r="A12" s="11" t="s">
        <v>89</v>
      </c>
      <c r="B12" s="12"/>
      <c r="C12" s="12"/>
      <c r="D12" s="12"/>
      <c r="E12" s="12"/>
      <c r="F12" s="12"/>
      <c r="G12" s="12"/>
      <c r="H12" s="12"/>
      <c r="I12" s="12"/>
    </row>
  </sheetData>
  <mergeCells count="3">
    <mergeCell ref="B2:C2"/>
    <mergeCell ref="F2:I2"/>
    <mergeCell ref="B12:I12"/>
  </mergeCells>
  <dataValidations count="3">
    <dataValidation type="list" allowBlank="1" showInputMessage="1" showErrorMessage="1" sqref="C7 C8 C9 C10 C4:C6">
      <formula1>"uuid,string,integer,long,double,float,boolean,date,timestamp,binary,clob,String[],Object[],byte[]"</formula1>
    </dataValidation>
    <dataValidation type="list" allowBlank="1" showInputMessage="1" showErrorMessage="1" sqref="E7 E8 E9 E10 E11 E4:E6">
      <formula1>"PK,UK,FK,PK|FK,FK|UK,UUK1,UUK2,UUK3,UUK4,UUK1|UUK2,UUK1|UUK2|UUK3,UUK1|UUK2|UUK3|UUK4,FK|UUK1,FK|UUK2"</formula1>
    </dataValidation>
    <dataValidation type="list" allowBlank="1" showInputMessage="1" showErrorMessage="1" sqref="F7 F8 F9 F10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I11"/>
  <sheetViews>
    <sheetView workbookViewId="0">
      <selection activeCell="F5" sqref="F5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7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23</v>
      </c>
      <c r="C2" s="4"/>
      <c r="D2" s="4"/>
      <c r="E2" s="3" t="s">
        <v>40</v>
      </c>
      <c r="F2" s="3" t="s">
        <v>24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136</v>
      </c>
      <c r="B4" s="6" t="s">
        <v>129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7" t="s">
        <v>137</v>
      </c>
      <c r="I4" s="6"/>
    </row>
    <row r="5" spans="1:9">
      <c r="A5" s="7" t="s">
        <v>138</v>
      </c>
      <c r="B5" s="6" t="s">
        <v>91</v>
      </c>
      <c r="C5" s="6" t="s">
        <v>74</v>
      </c>
      <c r="D5" s="7">
        <v>36</v>
      </c>
      <c r="E5" s="6" t="s">
        <v>49</v>
      </c>
      <c r="F5" s="6" t="s">
        <v>50</v>
      </c>
      <c r="G5" s="6"/>
      <c r="H5" s="7" t="s">
        <v>120</v>
      </c>
      <c r="I5" s="7"/>
    </row>
    <row r="6" spans="1:9">
      <c r="A6" s="7" t="s">
        <v>139</v>
      </c>
      <c r="B6" s="7" t="s">
        <v>134</v>
      </c>
      <c r="C6" s="6" t="s">
        <v>54</v>
      </c>
      <c r="D6" s="7">
        <v>1</v>
      </c>
      <c r="E6" s="6"/>
      <c r="F6" s="6"/>
      <c r="G6" s="6">
        <v>0</v>
      </c>
      <c r="H6" s="7"/>
      <c r="I6" s="7" t="s">
        <v>140</v>
      </c>
    </row>
    <row r="7" spans="1:9">
      <c r="A7" s="7" t="s">
        <v>141</v>
      </c>
      <c r="B7" s="7" t="s">
        <v>131</v>
      </c>
      <c r="C7" s="6" t="s">
        <v>88</v>
      </c>
      <c r="D7" s="7">
        <v>50</v>
      </c>
      <c r="E7" s="6"/>
      <c r="F7" s="6"/>
      <c r="G7" s="6"/>
      <c r="H7" s="7"/>
      <c r="I7" s="7"/>
    </row>
    <row r="8" spans="1:9">
      <c r="A8" s="9" t="s">
        <v>59</v>
      </c>
      <c r="B8" s="14" t="s">
        <v>60</v>
      </c>
      <c r="C8" s="8" t="s">
        <v>61</v>
      </c>
      <c r="D8" s="9"/>
      <c r="E8" s="8"/>
      <c r="F8" s="9" t="s">
        <v>50</v>
      </c>
      <c r="G8" s="10"/>
      <c r="H8" s="10"/>
      <c r="I8" s="14" t="s">
        <v>62</v>
      </c>
    </row>
    <row r="9" ht="24" spans="1:9">
      <c r="A9" s="9" t="s">
        <v>66</v>
      </c>
      <c r="B9" s="8" t="s">
        <v>67</v>
      </c>
      <c r="C9" s="8" t="s">
        <v>54</v>
      </c>
      <c r="D9" s="9">
        <v>8</v>
      </c>
      <c r="E9" s="8"/>
      <c r="F9" s="9" t="s">
        <v>50</v>
      </c>
      <c r="G9" s="10"/>
      <c r="H9" s="10"/>
      <c r="I9" s="8" t="s">
        <v>68</v>
      </c>
    </row>
    <row r="10" spans="1:9">
      <c r="A10" s="9" t="s">
        <v>5</v>
      </c>
      <c r="B10" s="13" t="s">
        <v>87</v>
      </c>
      <c r="C10" s="13" t="s">
        <v>88</v>
      </c>
      <c r="D10" s="13">
        <v>500</v>
      </c>
      <c r="E10" s="20"/>
      <c r="F10" s="13"/>
      <c r="G10" s="15"/>
      <c r="H10" s="15"/>
      <c r="I10" s="16"/>
    </row>
    <row r="11" ht="87.95" customHeight="1" spans="1:9">
      <c r="A11" s="11" t="s">
        <v>89</v>
      </c>
      <c r="B11" s="12" t="s">
        <v>128</v>
      </c>
      <c r="C11" s="12"/>
      <c r="D11" s="12"/>
      <c r="E11" s="12"/>
      <c r="F11" s="12"/>
      <c r="G11" s="12"/>
      <c r="H11" s="12"/>
      <c r="I11" s="12"/>
    </row>
  </sheetData>
  <mergeCells count="3">
    <mergeCell ref="B2:C2"/>
    <mergeCell ref="F2:I2"/>
    <mergeCell ref="B11:I11"/>
  </mergeCells>
  <dataValidations count="3">
    <dataValidation type="list" allowBlank="1" showInputMessage="1" showErrorMessage="1" sqref="C8 C9 C4:C7">
      <formula1>"uuid,string,integer,long,double,float,boolean,date,timestamp,binary,clob,String[],Object[],byte[]"</formula1>
    </dataValidation>
    <dataValidation type="list" allowBlank="1" showInputMessage="1" showErrorMessage="1" sqref="E8 E9 E10 E4:E7">
      <formula1>"PK,UK,FK,PK|FK,FK|UK,UUK1,UUK2,UUK3,UUK4,UUK1|UUK2,UUK1|UUK2|UUK3,UUK1|UUK2|UUK3|UUK4,FK|UUK1,FK|UUK2"</formula1>
    </dataValidation>
    <dataValidation type="list" allowBlank="1" showInputMessage="1" showErrorMessage="1" sqref="F8 F9 F4:F7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I10"/>
  <sheetViews>
    <sheetView workbookViewId="0">
      <selection activeCell="A1" sqref="A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7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19</v>
      </c>
      <c r="C2" s="4"/>
      <c r="D2" s="4"/>
      <c r="E2" s="3" t="s">
        <v>40</v>
      </c>
      <c r="F2" s="3" t="s">
        <v>20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124</v>
      </c>
      <c r="B4" s="6" t="s">
        <v>125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6" t="s">
        <v>120</v>
      </c>
      <c r="I4" s="6" t="s">
        <v>120</v>
      </c>
    </row>
    <row r="5" spans="1:9">
      <c r="A5" s="7" t="s">
        <v>126</v>
      </c>
      <c r="B5" s="6" t="s">
        <v>127</v>
      </c>
      <c r="C5" s="6" t="s">
        <v>74</v>
      </c>
      <c r="D5" s="7">
        <v>36</v>
      </c>
      <c r="E5" s="6" t="s">
        <v>49</v>
      </c>
      <c r="F5" s="6" t="s">
        <v>50</v>
      </c>
      <c r="G5" s="6"/>
      <c r="H5" s="6" t="s">
        <v>120</v>
      </c>
      <c r="I5" s="6" t="s">
        <v>120</v>
      </c>
    </row>
    <row r="6" spans="1:9">
      <c r="A6" s="7" t="s">
        <v>142</v>
      </c>
      <c r="B6" s="7" t="s">
        <v>131</v>
      </c>
      <c r="C6" s="6" t="s">
        <v>88</v>
      </c>
      <c r="D6" s="7">
        <v>50</v>
      </c>
      <c r="E6" s="6"/>
      <c r="F6" s="6"/>
      <c r="G6" s="6"/>
      <c r="H6" s="6"/>
      <c r="I6" s="7" t="s">
        <v>142</v>
      </c>
    </row>
    <row r="7" spans="1:9">
      <c r="A7" s="7" t="s">
        <v>143</v>
      </c>
      <c r="B7" s="7" t="s">
        <v>144</v>
      </c>
      <c r="C7" s="6" t="s">
        <v>88</v>
      </c>
      <c r="D7" s="7">
        <v>20</v>
      </c>
      <c r="E7" s="6"/>
      <c r="F7" s="6"/>
      <c r="G7" s="6"/>
      <c r="H7" s="6"/>
      <c r="I7" s="7"/>
    </row>
    <row r="8" spans="1:9">
      <c r="A8" s="7" t="s">
        <v>145</v>
      </c>
      <c r="B8" s="7" t="s">
        <v>146</v>
      </c>
      <c r="C8" s="6" t="s">
        <v>88</v>
      </c>
      <c r="D8" s="7">
        <v>40</v>
      </c>
      <c r="E8" s="6"/>
      <c r="F8" s="6"/>
      <c r="G8" s="6"/>
      <c r="H8" s="6"/>
      <c r="I8" s="7"/>
    </row>
    <row r="9" spans="1:9">
      <c r="A9" s="9" t="s">
        <v>5</v>
      </c>
      <c r="B9" s="13" t="s">
        <v>87</v>
      </c>
      <c r="C9" s="13" t="s">
        <v>88</v>
      </c>
      <c r="D9" s="13">
        <v>500</v>
      </c>
      <c r="E9" s="20"/>
      <c r="F9" s="13"/>
      <c r="G9" s="15"/>
      <c r="H9" s="15"/>
      <c r="I9" s="16"/>
    </row>
    <row r="10" ht="87.95" customHeight="1" spans="1:9">
      <c r="A10" s="11" t="s">
        <v>89</v>
      </c>
      <c r="B10" s="12"/>
      <c r="C10" s="12"/>
      <c r="D10" s="12"/>
      <c r="E10" s="12"/>
      <c r="F10" s="12"/>
      <c r="G10" s="12"/>
      <c r="H10" s="12"/>
      <c r="I10" s="12"/>
    </row>
  </sheetData>
  <mergeCells count="3">
    <mergeCell ref="B2:C2"/>
    <mergeCell ref="F2:I2"/>
    <mergeCell ref="B10:I10"/>
  </mergeCells>
  <dataValidations count="3">
    <dataValidation type="list" allowBlank="1" showInputMessage="1" showErrorMessage="1" sqref="E9 E4:E5 E6:E8">
      <formula1>"PK,UK,FK,PK|FK,FK|UK,UUK1,UUK2,UUK3,UUK4,UUK1|UUK2,UUK1|UUK2|UUK3,UUK1|UUK2|UUK3|UUK4,FK|UUK1,FK|UUK2"</formula1>
    </dataValidation>
    <dataValidation type="list" allowBlank="1" showInputMessage="1" showErrorMessage="1" sqref="C4:C5 C6:C8">
      <formula1>"uuid,string,integer,long,double,float,boolean,date,timestamp,binary,clob,String[],Object[],byte[]"</formula1>
    </dataValidation>
    <dataValidation type="list" allowBlank="1" showInputMessage="1" showErrorMessage="1" sqref="F4:F5 F6:F8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I13"/>
  <sheetViews>
    <sheetView workbookViewId="0">
      <selection activeCell="H7" sqref="H7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25</v>
      </c>
      <c r="C2" s="4"/>
      <c r="D2" s="4"/>
      <c r="E2" s="3" t="s">
        <v>40</v>
      </c>
      <c r="F2" s="3" t="s">
        <v>26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117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7"/>
      <c r="I4" s="6" t="s">
        <v>51</v>
      </c>
    </row>
    <row r="5" spans="1:9">
      <c r="A5" s="7" t="s">
        <v>147</v>
      </c>
      <c r="B5" s="6" t="s">
        <v>129</v>
      </c>
      <c r="C5" s="6" t="s">
        <v>74</v>
      </c>
      <c r="D5" s="7">
        <v>36</v>
      </c>
      <c r="E5" s="6"/>
      <c r="F5" s="6"/>
      <c r="G5" s="6"/>
      <c r="H5" s="7" t="s">
        <v>137</v>
      </c>
      <c r="I5" s="7"/>
    </row>
    <row r="6" spans="1:9">
      <c r="A6" s="7" t="s">
        <v>148</v>
      </c>
      <c r="B6" s="7" t="s">
        <v>149</v>
      </c>
      <c r="C6" s="6" t="s">
        <v>88</v>
      </c>
      <c r="D6" s="7">
        <v>500</v>
      </c>
      <c r="E6" s="6"/>
      <c r="F6" s="6"/>
      <c r="G6" s="6"/>
      <c r="H6" s="7"/>
      <c r="I6" s="7"/>
    </row>
    <row r="7" spans="1:9">
      <c r="A7" s="19" t="s">
        <v>43</v>
      </c>
      <c r="B7" s="7" t="s">
        <v>134</v>
      </c>
      <c r="C7" s="6" t="s">
        <v>54</v>
      </c>
      <c r="D7" s="19"/>
      <c r="E7" s="6"/>
      <c r="F7" s="19"/>
      <c r="G7" s="19">
        <v>0</v>
      </c>
      <c r="H7" s="11"/>
      <c r="I7" s="7" t="s">
        <v>150</v>
      </c>
    </row>
    <row r="8" spans="1:9">
      <c r="A8" s="9" t="s">
        <v>59</v>
      </c>
      <c r="B8" s="14" t="s">
        <v>60</v>
      </c>
      <c r="C8" s="8" t="s">
        <v>61</v>
      </c>
      <c r="D8" s="9"/>
      <c r="E8" s="8"/>
      <c r="F8" s="9" t="s">
        <v>50</v>
      </c>
      <c r="G8" s="10"/>
      <c r="H8" s="10"/>
      <c r="I8" s="14" t="s">
        <v>62</v>
      </c>
    </row>
    <row r="9" ht="24" spans="1:9">
      <c r="A9" s="9" t="s">
        <v>66</v>
      </c>
      <c r="B9" s="8" t="s">
        <v>67</v>
      </c>
      <c r="C9" s="8" t="s">
        <v>54</v>
      </c>
      <c r="D9" s="9">
        <v>8</v>
      </c>
      <c r="E9" s="8"/>
      <c r="F9" s="9" t="s">
        <v>50</v>
      </c>
      <c r="G9" s="10"/>
      <c r="H9" s="10"/>
      <c r="I9" s="8" t="s">
        <v>68</v>
      </c>
    </row>
    <row r="10" spans="1:9">
      <c r="A10" s="9" t="s">
        <v>72</v>
      </c>
      <c r="B10" s="8" t="s">
        <v>73</v>
      </c>
      <c r="C10" s="8" t="s">
        <v>74</v>
      </c>
      <c r="D10" s="9">
        <v>36</v>
      </c>
      <c r="E10" s="8"/>
      <c r="F10" s="9"/>
      <c r="G10" s="10"/>
      <c r="H10" s="10"/>
      <c r="I10" s="8" t="s">
        <v>75</v>
      </c>
    </row>
    <row r="11" spans="1:9">
      <c r="A11" s="9" t="s">
        <v>78</v>
      </c>
      <c r="B11" s="8" t="s">
        <v>79</v>
      </c>
      <c r="C11" s="8" t="s">
        <v>74</v>
      </c>
      <c r="D11" s="9">
        <v>36</v>
      </c>
      <c r="E11" s="8"/>
      <c r="F11" s="9"/>
      <c r="G11" s="10"/>
      <c r="H11" s="10"/>
      <c r="I11" s="14" t="s">
        <v>80</v>
      </c>
    </row>
    <row r="12" spans="1:9">
      <c r="A12" s="9" t="s">
        <v>5</v>
      </c>
      <c r="B12" s="13" t="s">
        <v>87</v>
      </c>
      <c r="C12" s="13" t="s">
        <v>88</v>
      </c>
      <c r="D12" s="13">
        <v>500</v>
      </c>
      <c r="E12" s="20"/>
      <c r="F12" s="13"/>
      <c r="G12" s="15"/>
      <c r="H12" s="15"/>
      <c r="I12" s="16"/>
    </row>
    <row r="13" ht="87.95" customHeight="1" spans="1:9">
      <c r="A13" s="11" t="s">
        <v>89</v>
      </c>
      <c r="B13" s="12"/>
      <c r="C13" s="12"/>
      <c r="D13" s="12"/>
      <c r="E13" s="12"/>
      <c r="F13" s="12"/>
      <c r="G13" s="12"/>
      <c r="H13" s="12"/>
      <c r="I13" s="12"/>
    </row>
  </sheetData>
  <mergeCells count="3">
    <mergeCell ref="B2:C2"/>
    <mergeCell ref="F2:I2"/>
    <mergeCell ref="B13:I13"/>
  </mergeCells>
  <dataValidations count="3">
    <dataValidation type="list" allowBlank="1" showInputMessage="1" showErrorMessage="1" sqref="C7 C8 C9 C10 C11 C4:C6">
      <formula1>"uuid,string,integer,long,double,float,boolean,date,timestamp,binary,clob,String[],Object[],byte[]"</formula1>
    </dataValidation>
    <dataValidation type="list" allowBlank="1" showInputMessage="1" showErrorMessage="1" sqref="E7 E8 E9 E10 E11 E12 E4:E6">
      <formula1>"PK,UK,FK,PK|FK,FK|UK,UUK1,UUK2,UUK3,UUK4,UUK1|UUK2,UUK1|UUK2|UUK3,UUK1|UUK2|UUK3|UUK4,FK|UUK1,FK|UUK2"</formula1>
    </dataValidation>
    <dataValidation type="list" allowBlank="1" showInputMessage="1" showErrorMessage="1" sqref="F7 F8 F9 F10 F11 F4:F6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5"/>
  <sheetViews>
    <sheetView workbookViewId="0">
      <selection activeCell="A1" sqref="A1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7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28</v>
      </c>
      <c r="C2" s="4"/>
      <c r="D2" s="4"/>
      <c r="E2" s="3" t="s">
        <v>40</v>
      </c>
      <c r="F2" s="3" t="s">
        <v>29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151</v>
      </c>
      <c r="C4" s="6" t="s">
        <v>88</v>
      </c>
      <c r="D4" s="6">
        <v>36</v>
      </c>
      <c r="E4" s="6" t="s">
        <v>49</v>
      </c>
      <c r="F4" s="6" t="s">
        <v>50</v>
      </c>
      <c r="G4" s="6"/>
      <c r="H4" s="18"/>
      <c r="I4" s="6" t="s">
        <v>152</v>
      </c>
    </row>
    <row r="5" spans="1:9">
      <c r="A5" s="7" t="s">
        <v>153</v>
      </c>
      <c r="B5" s="7" t="s">
        <v>154</v>
      </c>
      <c r="C5" s="6" t="s">
        <v>74</v>
      </c>
      <c r="D5" s="7">
        <v>36</v>
      </c>
      <c r="E5" s="6"/>
      <c r="F5" s="6" t="s">
        <v>50</v>
      </c>
      <c r="G5" s="6"/>
      <c r="H5" s="6"/>
      <c r="I5" s="7"/>
    </row>
    <row r="6" spans="1:9">
      <c r="A6" s="7" t="s">
        <v>155</v>
      </c>
      <c r="B6" s="7" t="s">
        <v>156</v>
      </c>
      <c r="C6" s="6" t="s">
        <v>74</v>
      </c>
      <c r="D6" s="7">
        <v>36</v>
      </c>
      <c r="E6" s="6"/>
      <c r="F6" s="6" t="s">
        <v>50</v>
      </c>
      <c r="G6" s="6"/>
      <c r="H6" s="6"/>
      <c r="I6" s="7"/>
    </row>
    <row r="7" spans="1:9">
      <c r="A7" s="7" t="s">
        <v>157</v>
      </c>
      <c r="B7" s="7" t="s">
        <v>134</v>
      </c>
      <c r="C7" s="6" t="s">
        <v>54</v>
      </c>
      <c r="D7" s="7">
        <v>1</v>
      </c>
      <c r="E7" s="6"/>
      <c r="F7" s="6"/>
      <c r="G7" s="6"/>
      <c r="H7" s="6"/>
      <c r="I7" s="7" t="s">
        <v>158</v>
      </c>
    </row>
    <row r="8" ht="24" spans="1:9">
      <c r="A8" s="7" t="s">
        <v>159</v>
      </c>
      <c r="B8" s="7" t="s">
        <v>160</v>
      </c>
      <c r="C8" s="6" t="s">
        <v>54</v>
      </c>
      <c r="D8" s="7">
        <v>3</v>
      </c>
      <c r="E8" s="6"/>
      <c r="F8" s="6"/>
      <c r="G8" s="6"/>
      <c r="H8" s="6"/>
      <c r="I8" s="7"/>
    </row>
    <row r="9" spans="1:9">
      <c r="A9" s="7" t="s">
        <v>161</v>
      </c>
      <c r="B9" s="7" t="s">
        <v>149</v>
      </c>
      <c r="C9" s="6" t="s">
        <v>113</v>
      </c>
      <c r="D9" s="7"/>
      <c r="E9" s="6"/>
      <c r="F9" s="6"/>
      <c r="G9" s="6"/>
      <c r="H9" s="6"/>
      <c r="I9" s="7"/>
    </row>
    <row r="10" spans="1:9">
      <c r="A10" s="7" t="s">
        <v>162</v>
      </c>
      <c r="B10" s="7" t="s">
        <v>163</v>
      </c>
      <c r="C10" s="6" t="s">
        <v>164</v>
      </c>
      <c r="D10" s="7"/>
      <c r="E10" s="6"/>
      <c r="F10" s="6"/>
      <c r="G10" s="6"/>
      <c r="H10" s="6"/>
      <c r="I10" s="7" t="s">
        <v>165</v>
      </c>
    </row>
    <row r="11" spans="1:9">
      <c r="A11" s="9" t="s">
        <v>59</v>
      </c>
      <c r="B11" s="14" t="s">
        <v>60</v>
      </c>
      <c r="C11" s="8" t="s">
        <v>61</v>
      </c>
      <c r="D11" s="9"/>
      <c r="E11" s="8"/>
      <c r="F11" s="9" t="s">
        <v>50</v>
      </c>
      <c r="G11" s="10"/>
      <c r="H11" s="10"/>
      <c r="I11" s="14" t="s">
        <v>62</v>
      </c>
    </row>
    <row r="12" ht="24" spans="1:9">
      <c r="A12" s="9" t="s">
        <v>66</v>
      </c>
      <c r="B12" s="8" t="s">
        <v>67</v>
      </c>
      <c r="C12" s="8" t="s">
        <v>54</v>
      </c>
      <c r="D12" s="9">
        <v>8</v>
      </c>
      <c r="E12" s="8"/>
      <c r="F12" s="9" t="s">
        <v>50</v>
      </c>
      <c r="G12" s="10"/>
      <c r="H12" s="10"/>
      <c r="I12" s="8" t="s">
        <v>68</v>
      </c>
    </row>
    <row r="13" spans="1:9">
      <c r="A13" s="9" t="s">
        <v>72</v>
      </c>
      <c r="B13" s="8" t="s">
        <v>73</v>
      </c>
      <c r="C13" s="8" t="s">
        <v>74</v>
      </c>
      <c r="D13" s="9">
        <v>36</v>
      </c>
      <c r="E13" s="8"/>
      <c r="F13" s="9"/>
      <c r="G13" s="10"/>
      <c r="H13" s="10"/>
      <c r="I13" s="8" t="s">
        <v>75</v>
      </c>
    </row>
    <row r="14" spans="1:9">
      <c r="A14" s="9" t="s">
        <v>78</v>
      </c>
      <c r="B14" s="8" t="s">
        <v>79</v>
      </c>
      <c r="C14" s="8" t="s">
        <v>74</v>
      </c>
      <c r="D14" s="9">
        <v>36</v>
      </c>
      <c r="E14" s="8"/>
      <c r="F14" s="9"/>
      <c r="G14" s="10"/>
      <c r="H14" s="10"/>
      <c r="I14" s="14" t="s">
        <v>80</v>
      </c>
    </row>
    <row r="15" ht="87.95" customHeight="1" spans="1:9">
      <c r="A15" s="11" t="s">
        <v>89</v>
      </c>
      <c r="B15" s="12"/>
      <c r="C15" s="12"/>
      <c r="D15" s="12"/>
      <c r="E15" s="12"/>
      <c r="F15" s="12"/>
      <c r="G15" s="12"/>
      <c r="H15" s="12"/>
      <c r="I15" s="12"/>
    </row>
  </sheetData>
  <mergeCells count="3">
    <mergeCell ref="B2:C2"/>
    <mergeCell ref="F2:I2"/>
    <mergeCell ref="B15:I15"/>
  </mergeCells>
  <dataValidations count="3">
    <dataValidation type="list" allowBlank="1" showInputMessage="1" showErrorMessage="1" sqref="C4 C11 C12 C13 C14 C5:C10">
      <formula1>"uuid,string,integer,long,double,float,boolean,date,timestamp,binary,clob,String[],Object[],byte[]"</formula1>
    </dataValidation>
    <dataValidation type="list" allowBlank="1" showInputMessage="1" showErrorMessage="1" sqref="E4 E11 E12 E13 E14 E5:E10">
      <formula1>"PK,UK,FK,PK|FK,FK|UK,UUK1,UUK2,UUK3,UUK4,UUK1|UUK2,UUK1|UUK2|UUK3,UUK1|UUK2|UUK3|UUK4,FK|UUK1,FK|UUK2"</formula1>
    </dataValidation>
    <dataValidation type="list" allowBlank="1" showInputMessage="1" showErrorMessage="1" sqref="F4 F11 F12 F13 F14 F5:F10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I15"/>
  <sheetViews>
    <sheetView workbookViewId="0">
      <selection activeCell="B15" sqref="B15:I15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30</v>
      </c>
      <c r="C2" s="4"/>
      <c r="D2" s="4"/>
      <c r="E2" s="3" t="s">
        <v>40</v>
      </c>
      <c r="F2" s="3" t="s">
        <v>31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166</v>
      </c>
      <c r="C4" s="6" t="s">
        <v>74</v>
      </c>
      <c r="D4" s="6">
        <v>36</v>
      </c>
      <c r="E4" s="6" t="s">
        <v>49</v>
      </c>
      <c r="F4" s="6" t="s">
        <v>50</v>
      </c>
      <c r="G4" s="6"/>
      <c r="H4" s="6"/>
      <c r="I4" s="6" t="s">
        <v>51</v>
      </c>
    </row>
    <row r="5" spans="1:9">
      <c r="A5" s="7" t="s">
        <v>167</v>
      </c>
      <c r="B5" s="6" t="s">
        <v>91</v>
      </c>
      <c r="C5" s="6" t="s">
        <v>74</v>
      </c>
      <c r="D5" s="7">
        <v>36</v>
      </c>
      <c r="E5" s="6"/>
      <c r="F5" s="6" t="s">
        <v>50</v>
      </c>
      <c r="G5" s="6"/>
      <c r="H5" s="6"/>
      <c r="I5" s="7"/>
    </row>
    <row r="6" spans="1:9">
      <c r="A6" s="7" t="s">
        <v>168</v>
      </c>
      <c r="B6" s="7" t="s">
        <v>169</v>
      </c>
      <c r="C6" s="6" t="s">
        <v>170</v>
      </c>
      <c r="D6" s="7" t="s">
        <v>171</v>
      </c>
      <c r="E6" s="6"/>
      <c r="F6" s="6" t="s">
        <v>50</v>
      </c>
      <c r="G6" s="6"/>
      <c r="H6" s="6"/>
      <c r="I6" s="7"/>
    </row>
    <row r="7" spans="1:9">
      <c r="A7" s="7" t="s">
        <v>172</v>
      </c>
      <c r="B7" s="7" t="s">
        <v>173</v>
      </c>
      <c r="C7" s="6" t="s">
        <v>170</v>
      </c>
      <c r="D7" s="7" t="s">
        <v>171</v>
      </c>
      <c r="E7" s="6"/>
      <c r="F7" s="6" t="s">
        <v>50</v>
      </c>
      <c r="G7" s="6"/>
      <c r="H7" s="6"/>
      <c r="I7" s="7"/>
    </row>
    <row r="8" spans="1:9">
      <c r="A8" s="7" t="s">
        <v>174</v>
      </c>
      <c r="B8" s="7" t="s">
        <v>175</v>
      </c>
      <c r="C8" s="6" t="s">
        <v>54</v>
      </c>
      <c r="D8" s="7"/>
      <c r="E8" s="6"/>
      <c r="F8" s="6"/>
      <c r="G8" s="6">
        <v>0</v>
      </c>
      <c r="H8" s="6"/>
      <c r="I8" s="7" t="s">
        <v>176</v>
      </c>
    </row>
    <row r="9" spans="1:9">
      <c r="A9" s="7" t="s">
        <v>177</v>
      </c>
      <c r="B9" s="7" t="s">
        <v>178</v>
      </c>
      <c r="C9" s="6" t="s">
        <v>179</v>
      </c>
      <c r="D9" s="7" t="s">
        <v>180</v>
      </c>
      <c r="E9" s="6"/>
      <c r="F9" s="6"/>
      <c r="G9" s="6">
        <v>0</v>
      </c>
      <c r="H9" s="6"/>
      <c r="I9" s="7"/>
    </row>
    <row r="10" spans="1:9">
      <c r="A10" s="7" t="s">
        <v>181</v>
      </c>
      <c r="B10" s="7" t="s">
        <v>182</v>
      </c>
      <c r="C10" s="6" t="s">
        <v>88</v>
      </c>
      <c r="D10" s="7">
        <v>200</v>
      </c>
      <c r="E10" s="6"/>
      <c r="F10" s="6"/>
      <c r="G10" s="6"/>
      <c r="H10" s="6"/>
      <c r="I10" s="7"/>
    </row>
    <row r="11" spans="1:9">
      <c r="A11" s="7" t="s">
        <v>183</v>
      </c>
      <c r="B11" s="7" t="s">
        <v>184</v>
      </c>
      <c r="C11" s="6" t="s">
        <v>88</v>
      </c>
      <c r="D11" s="7">
        <v>200</v>
      </c>
      <c r="E11" s="6"/>
      <c r="F11" s="6"/>
      <c r="G11" s="6"/>
      <c r="H11" s="6"/>
      <c r="I11" s="7"/>
    </row>
    <row r="12" spans="1:9">
      <c r="A12" s="9" t="s">
        <v>5</v>
      </c>
      <c r="B12" s="13" t="s">
        <v>87</v>
      </c>
      <c r="C12" s="14" t="s">
        <v>88</v>
      </c>
      <c r="D12" s="14">
        <v>500</v>
      </c>
      <c r="E12" s="14"/>
      <c r="F12" s="14"/>
      <c r="G12" s="15"/>
      <c r="H12" s="15"/>
      <c r="I12" s="16"/>
    </row>
    <row r="13" spans="1:9">
      <c r="A13" s="9" t="s">
        <v>59</v>
      </c>
      <c r="B13" s="14" t="s">
        <v>60</v>
      </c>
      <c r="C13" s="14" t="s">
        <v>61</v>
      </c>
      <c r="D13" s="14"/>
      <c r="E13" s="14"/>
      <c r="F13" s="14" t="s">
        <v>50</v>
      </c>
      <c r="G13" s="10"/>
      <c r="H13" s="10"/>
      <c r="I13" s="14" t="s">
        <v>62</v>
      </c>
    </row>
    <row r="14" ht="24" spans="1:9">
      <c r="A14" s="9" t="s">
        <v>66</v>
      </c>
      <c r="B14" s="8" t="s">
        <v>67</v>
      </c>
      <c r="C14" s="8" t="s">
        <v>54</v>
      </c>
      <c r="D14" s="14">
        <v>8</v>
      </c>
      <c r="E14" s="14"/>
      <c r="F14" s="14" t="s">
        <v>50</v>
      </c>
      <c r="G14" s="10"/>
      <c r="H14" s="10"/>
      <c r="I14" s="8" t="s">
        <v>68</v>
      </c>
    </row>
    <row r="15" ht="213" customHeight="1" spans="1:9">
      <c r="A15" s="11" t="s">
        <v>89</v>
      </c>
      <c r="B15" s="12" t="s">
        <v>185</v>
      </c>
      <c r="C15" s="12"/>
      <c r="D15" s="12"/>
      <c r="E15" s="12"/>
      <c r="F15" s="12"/>
      <c r="G15" s="12"/>
      <c r="H15" s="12"/>
      <c r="I15" s="12"/>
    </row>
  </sheetData>
  <mergeCells count="3">
    <mergeCell ref="B2:C2"/>
    <mergeCell ref="F2:I2"/>
    <mergeCell ref="B15:I15"/>
  </mergeCells>
  <dataValidations count="3">
    <dataValidation type="list" allowBlank="1" showInputMessage="1" showErrorMessage="1" sqref="C8 C9 C13 C14 C4:C5 C6:C7 C10:C11">
      <formula1>"uuid,string,integer,long,double,float,boolean,date,timestamp,binary,clob,String[],Object[],byte[]"</formula1>
    </dataValidation>
    <dataValidation type="list" allowBlank="1" showInputMessage="1" showErrorMessage="1" sqref="E8 E9 E12 E13 E14 E4:E5 E6:E7 E10:E11">
      <formula1>"PK,UK,FK,PK|FK,FK|UK,UUK1,UUK2,UUK3,UUK4,UUK1|UUK2,UUK1|UUK2|UUK3,UUK1|UUK2|UUK3|UUK4,FK|UUK1,FK|UUK2"</formula1>
    </dataValidation>
    <dataValidation type="list" allowBlank="1" showInputMessage="1" showErrorMessage="1" sqref="F8 F9 F13 F14 F4:F5 F6:F7 F10:F11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I12"/>
  <sheetViews>
    <sheetView workbookViewId="0">
      <selection activeCell="B7" sqref="B7"/>
    </sheetView>
  </sheetViews>
  <sheetFormatPr defaultColWidth="9" defaultRowHeight="14.25"/>
  <cols>
    <col min="1" max="1" width="12" customWidth="1"/>
    <col min="2" max="2" width="12.625" customWidth="1"/>
    <col min="3" max="3" width="9.25" customWidth="1"/>
    <col min="4" max="4" width="8.75" customWidth="1"/>
    <col min="5" max="5" width="16.875" customWidth="1"/>
    <col min="6" max="6" width="8.875" customWidth="1"/>
    <col min="7" max="7" width="9" customWidth="1"/>
    <col min="8" max="8" width="22.125" customWidth="1"/>
    <col min="9" max="9" width="50.375" customWidth="1"/>
  </cols>
  <sheetData>
    <row r="1" ht="30.95" customHeight="1" spans="1:9">
      <c r="A1" s="1" t="s">
        <v>38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39</v>
      </c>
      <c r="B2" s="4" t="s">
        <v>33</v>
      </c>
      <c r="C2" s="4"/>
      <c r="D2" s="4"/>
      <c r="E2" s="3" t="s">
        <v>40</v>
      </c>
      <c r="F2" s="3" t="s">
        <v>34</v>
      </c>
      <c r="G2" s="3"/>
      <c r="H2" s="3"/>
      <c r="I2" s="3"/>
    </row>
    <row r="3" ht="24" spans="1:9">
      <c r="A3" s="5" t="s">
        <v>41</v>
      </c>
      <c r="B3" s="5" t="s">
        <v>42</v>
      </c>
      <c r="C3" s="5" t="s">
        <v>43</v>
      </c>
      <c r="D3" s="5" t="s">
        <v>44</v>
      </c>
      <c r="E3" s="5" t="s">
        <v>45</v>
      </c>
      <c r="F3" s="5" t="s">
        <v>46</v>
      </c>
      <c r="G3" s="5" t="s">
        <v>47</v>
      </c>
      <c r="H3" s="5" t="s">
        <v>48</v>
      </c>
      <c r="I3" s="5" t="s">
        <v>5</v>
      </c>
    </row>
    <row r="4" spans="1:9">
      <c r="A4" s="6" t="s">
        <v>90</v>
      </c>
      <c r="B4" s="6" t="s">
        <v>91</v>
      </c>
      <c r="C4" s="6" t="s">
        <v>74</v>
      </c>
      <c r="D4" s="7">
        <v>36</v>
      </c>
      <c r="E4" s="6" t="s">
        <v>49</v>
      </c>
      <c r="F4" s="6" t="s">
        <v>50</v>
      </c>
      <c r="G4" s="6"/>
      <c r="H4" s="6"/>
      <c r="I4" s="6" t="s">
        <v>51</v>
      </c>
    </row>
    <row r="5" spans="1:9">
      <c r="A5" s="7" t="s">
        <v>168</v>
      </c>
      <c r="B5" s="7" t="s">
        <v>169</v>
      </c>
      <c r="C5" s="6" t="s">
        <v>170</v>
      </c>
      <c r="D5" s="7" t="s">
        <v>171</v>
      </c>
      <c r="E5" s="6"/>
      <c r="F5" s="6" t="s">
        <v>50</v>
      </c>
      <c r="G5" s="6"/>
      <c r="H5" s="6"/>
      <c r="I5" s="7"/>
    </row>
    <row r="6" spans="1:9">
      <c r="A6" s="7" t="s">
        <v>172</v>
      </c>
      <c r="B6" s="7" t="s">
        <v>173</v>
      </c>
      <c r="C6" s="6" t="s">
        <v>170</v>
      </c>
      <c r="D6" s="7" t="s">
        <v>171</v>
      </c>
      <c r="E6" s="6"/>
      <c r="F6" s="6" t="s">
        <v>50</v>
      </c>
      <c r="G6" s="6"/>
      <c r="H6" s="6"/>
      <c r="I6" s="7"/>
    </row>
    <row r="7" spans="1:9">
      <c r="A7" s="7" t="s">
        <v>177</v>
      </c>
      <c r="B7" s="7" t="s">
        <v>178</v>
      </c>
      <c r="C7" s="6" t="s">
        <v>179</v>
      </c>
      <c r="D7" s="7" t="s">
        <v>180</v>
      </c>
      <c r="E7" s="6"/>
      <c r="F7" s="6"/>
      <c r="G7" s="6">
        <v>0</v>
      </c>
      <c r="H7" s="6"/>
      <c r="I7" s="7"/>
    </row>
    <row r="8" spans="1:9">
      <c r="A8" s="7" t="s">
        <v>181</v>
      </c>
      <c r="B8" s="7" t="s">
        <v>182</v>
      </c>
      <c r="C8" s="6" t="s">
        <v>88</v>
      </c>
      <c r="D8" s="7">
        <v>200</v>
      </c>
      <c r="E8" s="6"/>
      <c r="F8" s="6"/>
      <c r="G8" s="6"/>
      <c r="H8" s="6"/>
      <c r="I8" s="7"/>
    </row>
    <row r="9" spans="1:9">
      <c r="A9" s="7" t="s">
        <v>183</v>
      </c>
      <c r="B9" s="7" t="s">
        <v>184</v>
      </c>
      <c r="C9" s="6" t="s">
        <v>88</v>
      </c>
      <c r="D9" s="7">
        <v>200</v>
      </c>
      <c r="E9" s="6"/>
      <c r="F9" s="6"/>
      <c r="G9" s="6"/>
      <c r="H9" s="6"/>
      <c r="I9" s="7"/>
    </row>
    <row r="10" spans="1:9">
      <c r="A10" s="8" t="s">
        <v>63</v>
      </c>
      <c r="B10" s="8" t="s">
        <v>64</v>
      </c>
      <c r="C10" s="8" t="s">
        <v>61</v>
      </c>
      <c r="D10" s="9"/>
      <c r="E10" s="8"/>
      <c r="F10" s="9" t="s">
        <v>50</v>
      </c>
      <c r="G10" s="10"/>
      <c r="H10" s="10"/>
      <c r="I10" s="8" t="s">
        <v>65</v>
      </c>
    </row>
    <row r="11" ht="24" spans="1:9">
      <c r="A11" s="9" t="s">
        <v>69</v>
      </c>
      <c r="B11" s="8" t="s">
        <v>70</v>
      </c>
      <c r="C11" s="8" t="s">
        <v>54</v>
      </c>
      <c r="D11" s="9">
        <v>8</v>
      </c>
      <c r="E11" s="8"/>
      <c r="F11" s="9" t="s">
        <v>50</v>
      </c>
      <c r="G11" s="10"/>
      <c r="H11" s="10"/>
      <c r="I11" s="8" t="s">
        <v>71</v>
      </c>
    </row>
    <row r="12" ht="87.95" customHeight="1" spans="1:9">
      <c r="A12" s="11" t="s">
        <v>89</v>
      </c>
      <c r="B12" s="12" t="s">
        <v>186</v>
      </c>
      <c r="C12" s="12"/>
      <c r="D12" s="12"/>
      <c r="E12" s="12"/>
      <c r="F12" s="12"/>
      <c r="G12" s="12"/>
      <c r="H12" s="12"/>
      <c r="I12" s="12"/>
    </row>
  </sheetData>
  <mergeCells count="3">
    <mergeCell ref="B2:C2"/>
    <mergeCell ref="F2:I2"/>
    <mergeCell ref="B12:I12"/>
  </mergeCells>
  <dataValidations count="3">
    <dataValidation type="list" allowBlank="1" showInputMessage="1" showErrorMessage="1" sqref="C4 C7 C10 C11 C5:C6 C8:C9">
      <formula1>"uuid,string,integer,long,double,float,boolean,date,timestamp,binary,clob,String[],Object[],byte[]"</formula1>
    </dataValidation>
    <dataValidation type="list" allowBlank="1" showInputMessage="1" showErrorMessage="1" sqref="E4 E7 E10 E11 E5:E6 E8:E9">
      <formula1>"PK,UK,FK,PK|FK,FK|UK,UUK1,UUK2,UUK3,UUK4,UUK1|UUK2,UUK1|UUK2|UUK3,UUK1|UUK2|UUK3|UUK4,FK|UUK1,FK|UUK2"</formula1>
    </dataValidation>
    <dataValidation type="list" allowBlank="1" showInputMessage="1" showErrorMessage="1" sqref="F4 F7 F10 F11 F5:F6 F8:F9">
      <formula1>"Y,N"</formula1>
    </dataValidation>
  </dataValidations>
  <hyperlinks>
    <hyperlink ref="A1" location="目录!A1" display="返回"/>
  </hyperlinks>
  <pageMargins left="0.75" right="0.75" top="1" bottom="1" header="0.510416666666667" footer="0.510416666666667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目录</vt:lpstr>
      <vt:lpstr>Template</vt:lpstr>
      <vt:lpstr>IM_USERINFO</vt:lpstr>
      <vt:lpstr>IM_USERINFO_IMG</vt:lpstr>
      <vt:lpstr>IM_USERINFO_ACCOUNT</vt:lpstr>
      <vt:lpstr>IM_USERINFO_FRIEND</vt:lpstr>
      <vt:lpstr>IM_GROUP</vt:lpstr>
      <vt:lpstr>IM_GROUP_USER</vt:lpstr>
      <vt:lpstr>IM_FRIEND_REMARK</vt:lpstr>
      <vt:lpstr>IM_GROUP_AFFICHE</vt:lpstr>
      <vt:lpstr>IM_HIS_MESSAGE</vt:lpstr>
      <vt:lpstr>IM_FOOTPRINT</vt:lpstr>
      <vt:lpstr>IM_CURRENT_LOCATION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wangbao0412</cp:lastModifiedBy>
  <dcterms:created xsi:type="dcterms:W3CDTF">2015-05-25T01:54:00Z</dcterms:created>
  <dcterms:modified xsi:type="dcterms:W3CDTF">2018-03-25T10:00:30Z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  <property fmtid="{D5CDD505-2E9C-101B-9397-08002B2CF9AE}" pid="3" name="KSOReadingLayout">
    <vt:bool>false</vt:bool>
  </property>
</Properties>
</file>