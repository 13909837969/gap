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495" windowHeight="9300" tabRatio="940" firstSheet="3" activeTab="4"/>
  </bookViews>
  <sheets>
    <sheet name="目录" sheetId="1" r:id="rId1"/>
    <sheet name="Template" sheetId="2" r:id="rId2"/>
    <sheet name="CORE_SCENE" sheetId="7" r:id="rId3"/>
    <sheet name="CORE_APPLICATION" sheetId="3" r:id="rId4"/>
    <sheet name="CORE_MENU" sheetId="4" r:id="rId5"/>
    <sheet name="CORE_ORGANIZATION" sheetId="6" r:id="rId6"/>
    <sheet name="CORE_ROLE" sheetId="5" r:id="rId7"/>
    <sheet name="CORE_ROLE_MENU" sheetId="8" r:id="rId8"/>
    <sheet name="CORE_ORGANIZATION_ROLE" sheetId="9" r:id="rId9"/>
    <sheet name="CORE_PERSONNEL" sheetId="10" r:id="rId10"/>
    <sheet name="CORE_ACCOUNT" sheetId="11" r:id="rId11"/>
    <sheet name="CORE_ACCOUNT_ORGANIZATION" sheetId="12" r:id="rId12"/>
    <sheet name="CORE_ACCOUNT_ROLE" sheetId="13" r:id="rId13"/>
    <sheet name="CORE_ACCOUNT_FIRSTPAGE" sheetId="14" r:id="rId14"/>
    <sheet name="CORE_ACCOUNT_MENU" sheetId="23" r:id="rId15"/>
    <sheet name="CORE_WORKGROUP" sheetId="15" r:id="rId16"/>
    <sheet name="CORE_ACCOUNT_WORKGROUP" sheetId="16" r:id="rId17"/>
    <sheet name="CORE_WORKGROUP_PERSONNEL" sheetId="17" r:id="rId18"/>
    <sheet name="CORE_SHORTCUT" sheetId="18" r:id="rId19"/>
    <sheet name="CORE_PORTAL" sheetId="19" r:id="rId20"/>
    <sheet name="CORE_PORTAL_FUNCTION" sheetId="20" r:id="rId21"/>
    <sheet name="CORE_ROLE_PORTAL" sheetId="21" r:id="rId22"/>
    <sheet name="CORE_PROXY_PRIMARY" sheetId="22" r:id="rId23"/>
  </sheets>
  <definedNames>
    <definedName name="_xlnm._FilterDatabase" localSheetId="0" hidden="1">目录!$A$2:$K$10</definedName>
  </definedNames>
  <calcPr calcId="144525"/>
</workbook>
</file>

<file path=xl/comments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sharedStrings.xml><?xml version="1.0" encoding="utf-8"?>
<sst xmlns="http://schemas.openxmlformats.org/spreadsheetml/2006/main" count="273">
  <si>
    <t>系统用户及权限管理(通用部分-解决SSO)</t>
  </si>
  <si>
    <t>序号</t>
  </si>
  <si>
    <t>表名（英文）</t>
  </si>
  <si>
    <t>链接</t>
  </si>
  <si>
    <t>表描述</t>
  </si>
  <si>
    <t>备注</t>
  </si>
  <si>
    <t>基础表</t>
  </si>
  <si>
    <t>模型设计情况</t>
  </si>
  <si>
    <t>系统用户及权限数据模型</t>
  </si>
  <si>
    <t>CORE_PROXY_PRIMARY</t>
  </si>
  <si>
    <t>数字类型代理主键配置表（用户自动生成系列号）</t>
  </si>
  <si>
    <t>用户自动生成数字系列号功能</t>
  </si>
  <si>
    <t>完成</t>
  </si>
  <si>
    <t>CORE_SCENE</t>
  </si>
  <si>
    <t>组织机构场景及账号场景应用表</t>
  </si>
  <si>
    <t>登录后主页面风格及样式</t>
  </si>
  <si>
    <t>CORE_APPLICATION</t>
  </si>
  <si>
    <t>系统应用管理</t>
  </si>
  <si>
    <t>CORE_MENU</t>
  </si>
  <si>
    <t>系统应用功能菜单管理</t>
  </si>
  <si>
    <t>CORE_ORGANIZATION</t>
  </si>
  <si>
    <t>组织机构管理表</t>
  </si>
  <si>
    <t>CORE_ROLE</t>
  </si>
  <si>
    <t>角色设置表</t>
  </si>
  <si>
    <t>CORE_ROLE_MENU</t>
  </si>
  <si>
    <t>角色功能菜单关联表</t>
  </si>
  <si>
    <t>一个角色对应多个功能菜单</t>
  </si>
  <si>
    <t>CORE_ORGANIZATION_ROLE</t>
  </si>
  <si>
    <t>组织角色关联表</t>
  </si>
  <si>
    <t>CORE_PERSONNEL</t>
  </si>
  <si>
    <t>组织机构人员信息表</t>
  </si>
  <si>
    <t>一个人对应多个账户</t>
  </si>
  <si>
    <t>CORE_ACCOUNT</t>
  </si>
  <si>
    <t>账户信息设置表</t>
  </si>
  <si>
    <t>CORE_ACCOUNT_ORGANIZATION</t>
  </si>
  <si>
    <t>账户组织机构关联表</t>
  </si>
  <si>
    <t>考虑到一个账户可能跨多个组织机构的情况</t>
  </si>
  <si>
    <t>CORE_ACCOUNT_ROLE</t>
  </si>
  <si>
    <t>账户角色关联表</t>
  </si>
  <si>
    <t>CORE_ACCOUNT_FIRSTPAGE</t>
  </si>
  <si>
    <t>账户首页配置表</t>
  </si>
  <si>
    <t>登录账号的首页面信息</t>
  </si>
  <si>
    <t>CORE_ACCOUNT_MENU</t>
  </si>
  <si>
    <t>账户菜单关联表</t>
  </si>
  <si>
    <t>一个账户可以对应多个菜单，用户申请功能的时候保存到该表</t>
  </si>
  <si>
    <t>CORE_WORKGROUP</t>
  </si>
  <si>
    <t>用户组信息设置表</t>
  </si>
  <si>
    <t>CORE_ACCOUNT_WORKGROUP</t>
  </si>
  <si>
    <t>用户组账号关联表</t>
  </si>
  <si>
    <t>一个工作组的多个账号</t>
  </si>
  <si>
    <t>CORE_WORKGROUP_PERSONNEL</t>
  </si>
  <si>
    <t>组织机构人员分组表（人员和用户组关联表）</t>
  </si>
  <si>
    <t>一个工作组的多个人员-人员对应多个账号</t>
  </si>
  <si>
    <t>CORE_SHORTCUT</t>
  </si>
  <si>
    <t>账号快捷菜单功能表（常用功能设置表）</t>
  </si>
  <si>
    <t>CORE_PORTAL</t>
  </si>
  <si>
    <t>应用 Portal 配置表</t>
  </si>
  <si>
    <t>CORE_PORTAL_FUNCTION</t>
  </si>
  <si>
    <t>Protal功能配置表</t>
  </si>
  <si>
    <t>Portal 对应的功能菜单（主要针对单独的图形报表等）</t>
  </si>
  <si>
    <t>CORE_ROLE_PORTAL</t>
  </si>
  <si>
    <t>角色Protal管理表</t>
  </si>
  <si>
    <t>CORE_BILL_TYPE</t>
  </si>
  <si>
    <t>单据类型设置表</t>
  </si>
  <si>
    <t>之前暂时单据权限审批流程用的，具体设计有问题，应付项目用的</t>
  </si>
  <si>
    <t>CORE_MESSAGE</t>
  </si>
  <si>
    <t>消息提醒记录表</t>
  </si>
  <si>
    <t>返回</t>
  </si>
  <si>
    <t>集合名</t>
  </si>
  <si>
    <t>集合描述</t>
  </si>
  <si>
    <t>名称</t>
  </si>
  <si>
    <t>字段</t>
  </si>
  <si>
    <t>类型</t>
  </si>
  <si>
    <t>长度</t>
  </si>
  <si>
    <t>约束</t>
  </si>
  <si>
    <t>是否必须输入项目</t>
  </si>
  <si>
    <t>默认值</t>
  </si>
  <si>
    <t>外键表及字段</t>
  </si>
  <si>
    <t>PK</t>
  </si>
  <si>
    <t>Y</t>
  </si>
  <si>
    <t>系统自动生成</t>
  </si>
  <si>
    <t>主键</t>
  </si>
  <si>
    <t>SYSID</t>
  </si>
  <si>
    <t>uuid</t>
  </si>
  <si>
    <t>创建时间戳</t>
  </si>
  <si>
    <t>cts</t>
  </si>
  <si>
    <t>timestamp</t>
  </si>
  <si>
    <t>数据创建（插入）保存当前插入数据的毫秒数</t>
  </si>
  <si>
    <t>更新时间戳</t>
  </si>
  <si>
    <t>uts</t>
  </si>
  <si>
    <t>数据更新操作时，更新其属性为当前的毫秒数</t>
  </si>
  <si>
    <t>创建日期</t>
  </si>
  <si>
    <t>cdate</t>
  </si>
  <si>
    <t>integer</t>
  </si>
  <si>
    <t>创建日期(不含时分秒) 数据格式 yyyyMMddd 数字类型，如：20150202</t>
  </si>
  <si>
    <t>更新日期</t>
  </si>
  <si>
    <t>udate</t>
  </si>
  <si>
    <t>修改日期(不含时分秒) 数据格式 yyyyMMddd 数字类型，如：20150202</t>
  </si>
  <si>
    <t>备注：</t>
  </si>
  <si>
    <t>场景编码</t>
  </si>
  <si>
    <t>SCENECODE</t>
  </si>
  <si>
    <t>string</t>
  </si>
  <si>
    <t>UK</t>
  </si>
  <si>
    <t>场景名称</t>
  </si>
  <si>
    <t>SCENENAME</t>
  </si>
  <si>
    <t>主页面URL</t>
  </si>
  <si>
    <t>MAINURL</t>
  </si>
  <si>
    <t>是否首选</t>
  </si>
  <si>
    <t>DEFAULTFLAG</t>
  </si>
  <si>
    <t>场景预览图</t>
  </si>
  <si>
    <t>IMGSCENE</t>
  </si>
  <si>
    <t>binary</t>
  </si>
  <si>
    <t>默认标记-是否首选(1首选,0 非首选)</t>
  </si>
  <si>
    <t>自动生成</t>
  </si>
  <si>
    <t>应用编码</t>
  </si>
  <si>
    <t>APPCODE</t>
  </si>
  <si>
    <t>应用名称</t>
  </si>
  <si>
    <t>APPNAME</t>
  </si>
  <si>
    <t>项目</t>
  </si>
  <si>
    <t>PROJECT</t>
  </si>
  <si>
    <t>应用项目</t>
  </si>
  <si>
    <t>请求地址</t>
  </si>
  <si>
    <t>REQADDRESS</t>
  </si>
  <si>
    <t>应用角色</t>
  </si>
  <si>
    <t>FRULE</t>
  </si>
  <si>
    <t>应用范围（PSA 平台系统管理员  OSA 机构用户）</t>
  </si>
  <si>
    <t>REMARK</t>
  </si>
  <si>
    <t>父级ID</t>
  </si>
  <si>
    <t>PARENTID</t>
  </si>
  <si>
    <t>应用ID</t>
  </si>
  <si>
    <t>APPID</t>
  </si>
  <si>
    <t>FK</t>
  </si>
  <si>
    <t>CORE_APPLICATION.SYSID</t>
  </si>
  <si>
    <t>菜单编码</t>
  </si>
  <si>
    <t>MENUCODE</t>
  </si>
  <si>
    <t>菜单名称</t>
  </si>
  <si>
    <t>MENUNAME</t>
  </si>
  <si>
    <t>URL</t>
  </si>
  <si>
    <t>ACTIONURI</t>
  </si>
  <si>
    <t>排序</t>
  </si>
  <si>
    <t>SORT</t>
  </si>
  <si>
    <t>图标</t>
  </si>
  <si>
    <t>ICON</t>
  </si>
  <si>
    <t>删除标记</t>
  </si>
  <si>
    <t>DEL</t>
  </si>
  <si>
    <t>1 删除   0 没有删除  默认为  0 数据已经被使用，就不允许删除</t>
  </si>
  <si>
    <t>INNERCODE</t>
  </si>
  <si>
    <t>内部代码（级别代码）</t>
  </si>
  <si>
    <t>机构编码</t>
  </si>
  <si>
    <t>ORGCODE</t>
  </si>
  <si>
    <t>机构名称</t>
  </si>
  <si>
    <t>ORGNAME</t>
  </si>
  <si>
    <t>REGIONCODE</t>
  </si>
  <si>
    <t>行政区划编码，数据同 SYS_REGION,矫正系统中的（国家标准）</t>
  </si>
  <si>
    <t>开启/禁用</t>
  </si>
  <si>
    <t>FLAG</t>
  </si>
  <si>
    <t>开启/禁用(1，开启  0，禁用)</t>
  </si>
  <si>
    <t>机构类型</t>
  </si>
  <si>
    <t>LVL</t>
  </si>
  <si>
    <t xml:space="preserve">机构类型
1、司法厅   2、市司法局  3、区司法局  4、司法所（司法行政机关）   5、法律服务机构 </t>
  </si>
  <si>
    <t>左排序</t>
  </si>
  <si>
    <t>LFT</t>
  </si>
  <si>
    <t>右排序</t>
  </si>
  <si>
    <t>RGT</t>
  </si>
  <si>
    <t>地理信息标记</t>
  </si>
  <si>
    <t>GIS</t>
  </si>
  <si>
    <t>地理信息标记(1 表示已经标记了地理位置)</t>
  </si>
  <si>
    <t>管理员账号</t>
  </si>
  <si>
    <t>ACCID</t>
  </si>
  <si>
    <t>场景ID</t>
  </si>
  <si>
    <t>SCENEID</t>
  </si>
  <si>
    <t>CORE_SCENE.SYSID</t>
  </si>
  <si>
    <t>初始化密码</t>
  </si>
  <si>
    <t>ACCPW</t>
  </si>
  <si>
    <t>登录后必须修改初始化密码，第一次分配账号的时候使用</t>
  </si>
  <si>
    <t>应用URL</t>
  </si>
  <si>
    <t>APPURL</t>
  </si>
  <si>
    <t>机构应用的特殊情况</t>
  </si>
  <si>
    <t>前置服务标记</t>
  </si>
  <si>
    <t>PREFLAG</t>
  </si>
  <si>
    <t>医院前置服务部署标志(1 部署)</t>
  </si>
  <si>
    <t>角色编码</t>
  </si>
  <si>
    <t>ROLECODE</t>
  </si>
  <si>
    <t>角色名称</t>
  </si>
  <si>
    <t>ROLENAME</t>
  </si>
  <si>
    <t>账户角色</t>
  </si>
  <si>
    <t>账户角色（PSA 平台系统用户管理员  OSA 机构用户管理员）</t>
  </si>
  <si>
    <t>开启禁用(1，开启  0，禁用)</t>
  </si>
  <si>
    <t>组织机构ID</t>
  </si>
  <si>
    <t>ORGID</t>
  </si>
  <si>
    <t>CORE_ORGANIZATION.SYSID</t>
  </si>
  <si>
    <t>角色ID</t>
  </si>
  <si>
    <t>ROLEID</t>
  </si>
  <si>
    <t>CORE_ROLE.SYSID</t>
  </si>
  <si>
    <t>菜单ID</t>
  </si>
  <si>
    <t>MENUID</t>
  </si>
  <si>
    <t>CORE_MENU.SYSID</t>
  </si>
  <si>
    <t>组织机构id</t>
  </si>
  <si>
    <t>角色id</t>
  </si>
  <si>
    <t>编码</t>
  </si>
  <si>
    <t>CODING</t>
  </si>
  <si>
    <t>医院系统内部编码</t>
  </si>
  <si>
    <t>HISCODE</t>
  </si>
  <si>
    <t>姓名</t>
  </si>
  <si>
    <t>NAME</t>
  </si>
  <si>
    <t>性别</t>
  </si>
  <si>
    <t>SEX</t>
  </si>
  <si>
    <t>职务/岗位</t>
  </si>
  <si>
    <t>POST</t>
  </si>
  <si>
    <t>身份证号</t>
  </si>
  <si>
    <t>CARDID</t>
  </si>
  <si>
    <t>出生日期</t>
  </si>
  <si>
    <t>BIRTHDAY</t>
  </si>
  <si>
    <t>yyyy-MM-dd</t>
  </si>
  <si>
    <t>联系电话</t>
  </si>
  <si>
    <t>TELEPHONE</t>
  </si>
  <si>
    <t>Email</t>
  </si>
  <si>
    <t>EMAIL</t>
  </si>
  <si>
    <t>CTS</t>
  </si>
  <si>
    <t>UTS</t>
  </si>
  <si>
    <t>账号</t>
  </si>
  <si>
    <t>ACCOUNTID</t>
  </si>
  <si>
    <t>姓名(昵称)</t>
  </si>
  <si>
    <t>NICKNAME</t>
  </si>
  <si>
    <t>人员ID</t>
  </si>
  <si>
    <t>USERID</t>
  </si>
  <si>
    <t>密码</t>
  </si>
  <si>
    <t>PASSWORD</t>
  </si>
  <si>
    <t>N</t>
  </si>
  <si>
    <t>开启禁用</t>
  </si>
  <si>
    <t>PSA 平台系统用户管理员  OSA 机构用户管理员</t>
  </si>
  <si>
    <t>数据限制</t>
  </si>
  <si>
    <t>DATALIMIT</t>
  </si>
  <si>
    <t>在线状态</t>
  </si>
  <si>
    <t>STATUS</t>
  </si>
  <si>
    <t>1在线   0 不在线</t>
  </si>
  <si>
    <t>第三方系统用户对照ID</t>
  </si>
  <si>
    <t>BINDID</t>
  </si>
  <si>
    <t>账户ID</t>
  </si>
  <si>
    <t>FK|UUK1</t>
  </si>
  <si>
    <t>CORE_ACCOUNT.SYSID</t>
  </si>
  <si>
    <t>默认组织机构</t>
  </si>
  <si>
    <t>DEFAULTORG</t>
  </si>
  <si>
    <t>默认组织机构(1默认)   0 非默认的组织机构</t>
  </si>
  <si>
    <t>OSA 机构用户管理员</t>
  </si>
  <si>
    <t>帐户ID</t>
  </si>
  <si>
    <t>功能菜单ID</t>
  </si>
  <si>
    <t>审核标记</t>
  </si>
  <si>
    <t>audit</t>
  </si>
  <si>
    <t>0、未审核状态 1、通过</t>
  </si>
  <si>
    <t>用户申请功能菜单的时候保存到该表中，审核通过后，功能菜单即可使用
 main-cool.jsp 使用</t>
  </si>
  <si>
    <t>组名</t>
  </si>
  <si>
    <t>GROUPNAME</t>
  </si>
  <si>
    <t>GROUPID</t>
  </si>
  <si>
    <t>CORE_WORKGROUP.SYSID</t>
  </si>
  <si>
    <t>工作组ID</t>
  </si>
  <si>
    <t>人员员工ID</t>
  </si>
  <si>
    <t>PERSONNELID</t>
  </si>
  <si>
    <t>CORE_PERSONNEL.SYSID</t>
  </si>
  <si>
    <t>Protal编码</t>
  </si>
  <si>
    <t>PROTALCODE</t>
  </si>
  <si>
    <t>Protal名称</t>
  </si>
  <si>
    <t>PROTALNAME</t>
  </si>
  <si>
    <t>ProtalID</t>
  </si>
  <si>
    <t>PORTALID</t>
  </si>
  <si>
    <t>CORE_PORTAL.SYSID</t>
  </si>
  <si>
    <t>功能ID</t>
  </si>
  <si>
    <t>FUNCID</t>
  </si>
  <si>
    <t>菜单ID(core_menu.sysid)</t>
  </si>
  <si>
    <t>ProtalId</t>
  </si>
  <si>
    <t>PROTALID</t>
  </si>
  <si>
    <t>TABLENAME</t>
  </si>
  <si>
    <t>long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</si>
</sst>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[$-F800]dddd\,\ mmmm\ dd\,\ yyyy"/>
  </numFmts>
  <fonts count="33">
    <font>
      <sz val="12"/>
      <name val="宋体"/>
      <charset val="134"/>
    </font>
    <font>
      <b/>
      <u/>
      <sz val="14"/>
      <color rgb="FF800080"/>
      <name val="宋体"/>
      <charset val="134"/>
    </font>
    <font>
      <sz val="10"/>
      <name val="宋体"/>
      <charset val="134"/>
    </font>
    <font>
      <u/>
      <sz val="12"/>
      <color indexed="12"/>
      <name val="宋体"/>
      <charset val="134"/>
    </font>
    <font>
      <b/>
      <u/>
      <sz val="14"/>
      <color indexed="12"/>
      <name val="宋体"/>
      <charset val="134"/>
    </font>
    <font>
      <strike/>
      <sz val="10"/>
      <name val="宋体"/>
      <charset val="134"/>
    </font>
    <font>
      <sz val="10"/>
      <color indexed="58"/>
      <name val="宋体"/>
      <charset val="134"/>
    </font>
    <font>
      <u/>
      <sz val="12"/>
      <color rgb="FF800080"/>
      <name val="宋体"/>
      <charset val="134"/>
    </font>
    <font>
      <b/>
      <sz val="10"/>
      <color indexed="8"/>
      <name val="宋体"/>
      <charset val="134"/>
    </font>
    <font>
      <b/>
      <sz val="10"/>
      <color rgb="FF0070C0"/>
      <name val="宋体"/>
      <charset val="134"/>
    </font>
    <font>
      <u/>
      <sz val="10"/>
      <color indexed="20"/>
      <name val="宋体"/>
      <charset val="134"/>
    </font>
    <font>
      <strike/>
      <u/>
      <sz val="10"/>
      <color indexed="20"/>
      <name val="宋体"/>
      <charset val="134"/>
    </font>
    <font>
      <b/>
      <sz val="11"/>
      <color theme="1"/>
      <name val="宋体"/>
      <charset val="0"/>
      <scheme val="minor"/>
    </font>
    <font>
      <u/>
      <sz val="12"/>
      <color indexed="20"/>
      <name val="宋体"/>
      <charset val="134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sz val="11"/>
      <color indexed="8"/>
      <name val="宋体"/>
      <charset val="134"/>
    </font>
    <font>
      <sz val="11"/>
      <color rgb="FF9C6500"/>
      <name val="宋体"/>
      <charset val="0"/>
      <scheme val="minor"/>
    </font>
    <font>
      <sz val="10"/>
      <name val="Arial"/>
      <charset val="134"/>
    </font>
  </fonts>
  <fills count="3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3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18" fillId="11" borderId="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10" borderId="9" applyNumberFormat="0" applyFont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19" fillId="9" borderId="10" applyNumberFormat="0" applyAlignment="0" applyProtection="0">
      <alignment vertical="center"/>
    </xf>
    <xf numFmtId="0" fontId="30" fillId="0" borderId="0"/>
    <xf numFmtId="0" fontId="16" fillId="9" borderId="8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7" fillId="0" borderId="13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  <xf numFmtId="0" fontId="17" fillId="0" borderId="0"/>
    <xf numFmtId="0" fontId="30" fillId="0" borderId="0"/>
    <xf numFmtId="176" fontId="32" fillId="0" borderId="0"/>
  </cellStyleXfs>
  <cellXfs count="47">
    <xf numFmtId="0" fontId="0" fillId="0" borderId="0" xfId="0">
      <alignment vertical="center"/>
    </xf>
    <xf numFmtId="0" fontId="1" fillId="2" borderId="0" xfId="10" applyFont="1" applyFill="1">
      <alignment vertical="center"/>
    </xf>
    <xf numFmtId="0" fontId="0" fillId="2" borderId="0" xfId="0" applyFill="1">
      <alignment vertical="center"/>
    </xf>
    <xf numFmtId="0" fontId="2" fillId="3" borderId="1" xfId="0" applyNumberFormat="1" applyFont="1" applyFill="1" applyBorder="1" applyAlignment="1">
      <alignment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4" borderId="1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0" borderId="2" xfId="0" applyNumberFormat="1" applyFont="1" applyBorder="1" applyAlignment="1">
      <alignment vertical="center" wrapText="1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Border="1" applyAlignment="1">
      <alignment horizontal="left" vertical="top" wrapText="1"/>
    </xf>
    <xf numFmtId="0" fontId="3" fillId="0" borderId="2" xfId="10" applyNumberFormat="1" applyBorder="1" applyAlignment="1">
      <alignment vertical="center" wrapText="1"/>
    </xf>
    <xf numFmtId="0" fontId="2" fillId="2" borderId="4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2" xfId="0" applyNumberFormat="1" applyFont="1" applyFill="1" applyBorder="1" applyAlignment="1">
      <alignment vertical="center" wrapText="1"/>
    </xf>
    <xf numFmtId="0" fontId="2" fillId="2" borderId="3" xfId="0" applyNumberFormat="1" applyFont="1" applyFill="1" applyBorder="1" applyAlignment="1">
      <alignment vertical="center" wrapText="1"/>
    </xf>
    <xf numFmtId="0" fontId="4" fillId="2" borderId="0" xfId="10" applyFont="1" applyFill="1">
      <alignment vertical="center"/>
    </xf>
    <xf numFmtId="0" fontId="2" fillId="0" borderId="4" xfId="0" applyNumberFormat="1" applyFont="1" applyFill="1" applyBorder="1" applyAlignment="1">
      <alignment vertical="center" wrapText="1"/>
    </xf>
    <xf numFmtId="0" fontId="2" fillId="0" borderId="2" xfId="0" applyNumberFormat="1" applyFont="1" applyFill="1" applyBorder="1" applyAlignment="1">
      <alignment vertical="center" wrapText="1"/>
    </xf>
    <xf numFmtId="0" fontId="2" fillId="0" borderId="3" xfId="0" applyNumberFormat="1" applyFont="1" applyFill="1" applyBorder="1" applyAlignment="1">
      <alignment vertical="center" wrapText="1"/>
    </xf>
    <xf numFmtId="0" fontId="5" fillId="0" borderId="1" xfId="0" applyNumberFormat="1" applyFont="1" applyBorder="1" applyAlignment="1">
      <alignment vertical="center" wrapText="1"/>
    </xf>
    <xf numFmtId="0" fontId="5" fillId="0" borderId="2" xfId="0" applyNumberFormat="1" applyFont="1" applyBorder="1" applyAlignment="1">
      <alignment vertical="center" wrapText="1"/>
    </xf>
    <xf numFmtId="0" fontId="6" fillId="0" borderId="4" xfId="0" applyNumberFormat="1" applyFont="1" applyBorder="1" applyAlignment="1">
      <alignment vertical="center" wrapText="1"/>
    </xf>
    <xf numFmtId="0" fontId="6" fillId="0" borderId="1" xfId="0" applyNumberFormat="1" applyFont="1" applyBorder="1" applyAlignment="1">
      <alignment vertical="center" wrapText="1"/>
    </xf>
    <xf numFmtId="0" fontId="6" fillId="0" borderId="5" xfId="0" applyNumberFormat="1" applyFont="1" applyBorder="1" applyAlignment="1">
      <alignment vertical="center" wrapText="1"/>
    </xf>
    <xf numFmtId="0" fontId="5" fillId="0" borderId="4" xfId="0" applyNumberFormat="1" applyFont="1" applyBorder="1" applyAlignment="1">
      <alignment vertical="center" wrapText="1"/>
    </xf>
    <xf numFmtId="0" fontId="5" fillId="0" borderId="5" xfId="0" applyNumberFormat="1" applyFont="1" applyBorder="1" applyAlignment="1">
      <alignment vertical="center" wrapText="1"/>
    </xf>
    <xf numFmtId="0" fontId="7" fillId="0" borderId="2" xfId="10" applyNumberFormat="1" applyFont="1" applyBorder="1" applyAlignment="1">
      <alignment vertical="center" wrapText="1"/>
    </xf>
    <xf numFmtId="0" fontId="2" fillId="0" borderId="0" xfId="0" applyFont="1" applyBorder="1">
      <alignment vertical="center"/>
    </xf>
    <xf numFmtId="0" fontId="2" fillId="0" borderId="0" xfId="0" applyFont="1">
      <alignment vertical="center"/>
    </xf>
    <xf numFmtId="0" fontId="2" fillId="0" borderId="0" xfId="0" applyFont="1" applyBorder="1" applyAlignment="1">
      <alignment horizontal="left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5" borderId="1" xfId="0" applyFont="1" applyFill="1" applyBorder="1">
      <alignment vertical="center"/>
    </xf>
    <xf numFmtId="0" fontId="10" fillId="5" borderId="1" xfId="10" applyFont="1" applyFill="1" applyBorder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6" borderId="1" xfId="0" applyFont="1" applyFill="1" applyBorder="1">
      <alignment vertical="center"/>
    </xf>
    <xf numFmtId="0" fontId="10" fillId="6" borderId="1" xfId="10" applyFont="1" applyFill="1" applyBorder="1">
      <alignment vertical="center"/>
    </xf>
    <xf numFmtId="0" fontId="2" fillId="6" borderId="1" xfId="0" applyNumberFormat="1" applyFont="1" applyFill="1" applyBorder="1" applyAlignment="1">
      <alignment vertical="center" wrapText="1"/>
    </xf>
    <xf numFmtId="0" fontId="5" fillId="7" borderId="1" xfId="0" applyNumberFormat="1" applyFont="1" applyFill="1" applyBorder="1">
      <alignment vertical="center"/>
    </xf>
    <xf numFmtId="0" fontId="11" fillId="7" borderId="1" xfId="10" applyNumberFormat="1" applyFont="1" applyFill="1" applyBorder="1">
      <alignment vertical="center"/>
    </xf>
    <xf numFmtId="0" fontId="5" fillId="7" borderId="1" xfId="0" applyNumberFormat="1" applyFont="1" applyFill="1" applyBorder="1" applyAlignment="1">
      <alignment vertical="center" wrapText="1"/>
    </xf>
    <xf numFmtId="0" fontId="2" fillId="7" borderId="1" xfId="0" applyNumberFormat="1" applyFont="1" applyFill="1" applyBorder="1" applyAlignment="1">
      <alignment vertical="center" wrapText="1"/>
    </xf>
    <xf numFmtId="0" fontId="2" fillId="7" borderId="1" xfId="0" applyFont="1" applyFill="1" applyBorder="1">
      <alignment vertical="center"/>
    </xf>
    <xf numFmtId="0" fontId="10" fillId="0" borderId="1" xfId="10" applyFont="1" applyBorder="1">
      <alignment vertical="center"/>
    </xf>
    <xf numFmtId="0" fontId="10" fillId="0" borderId="0" xfId="10" applyFont="1" applyBorder="1">
      <alignment vertical="center"/>
    </xf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常规 5 3" xfId="25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5" xfId="51"/>
    <cellStyle name="常规 24" xf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7" Type="http://schemas.microsoft.com/office/2006/relationships/vbaProject" Target="vbaProject.bin"/><Relationship Id="rId26" Type="http://schemas.openxmlformats.org/officeDocument/2006/relationships/sharedStrings" Target="sharedStrings.xml"/><Relationship Id="rId25" Type="http://schemas.openxmlformats.org/officeDocument/2006/relationships/styles" Target="styles.xml"/><Relationship Id="rId24" Type="http://schemas.openxmlformats.org/officeDocument/2006/relationships/theme" Target="theme/theme1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0</xdr:row>
          <xdr:rowOff>152400</xdr:rowOff>
        </xdr:from>
        <xdr:to>
          <xdr:col>9</xdr:col>
          <xdr:colOff>1085850</xdr:colOff>
          <xdr:row>1</xdr:row>
          <xdr:rowOff>314325</xdr:rowOff>
        </xdr:to>
        <xdr:sp>
          <xdr:nvSpPr>
            <xdr:cNvPr id="1025" name="btnCre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0801350" y="152400"/>
              <a:ext cx="67627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</xdr:row>
          <xdr:rowOff>19050</xdr:rowOff>
        </xdr:from>
        <xdr:to>
          <xdr:col>8</xdr:col>
          <xdr:colOff>400050</xdr:colOff>
          <xdr:row>1</xdr:row>
          <xdr:rowOff>247650</xdr:rowOff>
        </xdr:to>
        <xdr:sp>
          <xdr:nvSpPr>
            <xdr:cNvPr id="1026" name="Label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744075" y="171450"/>
              <a:ext cx="36195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</xdr:row>
          <xdr:rowOff>0</xdr:rowOff>
        </xdr:from>
        <xdr:to>
          <xdr:col>9</xdr:col>
          <xdr:colOff>342900</xdr:colOff>
          <xdr:row>1</xdr:row>
          <xdr:rowOff>247650</xdr:rowOff>
        </xdr:to>
        <xdr:sp>
          <xdr:nvSpPr>
            <xdr:cNvPr id="1029" name="Text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10191750" y="152400"/>
              <a:ext cx="542925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1609725</xdr:colOff>
          <xdr:row>1</xdr:row>
          <xdr:rowOff>0</xdr:rowOff>
        </xdr:from>
        <xdr:to>
          <xdr:col>10</xdr:col>
          <xdr:colOff>581025</xdr:colOff>
          <xdr:row>1</xdr:row>
          <xdr:rowOff>266700</xdr:rowOff>
        </xdr:to>
        <xdr:sp>
          <xdr:nvSpPr>
            <xdr:cNvPr id="1030" name="btnUpdat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12001500" y="152400"/>
              <a:ext cx="1447800" cy="2667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comments" Target="../comments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comments" Target="../comments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comments" Target="../comments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comments" Target="../comments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comments" Target="../comments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comments" Target="../comments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comments" Target="../comments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comments" Target="../comments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1.vml"/><Relationship Id="rId1" Type="http://schemas.openxmlformats.org/officeDocument/2006/relationships/comments" Target="../comments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comments" Target="../comments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3.vml"/><Relationship Id="rId1" Type="http://schemas.openxmlformats.org/officeDocument/2006/relationships/comments" Target="../comments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46"/>
  <sheetViews>
    <sheetView workbookViewId="0">
      <pane ySplit="2" topLeftCell="A3" activePane="bottomLeft" state="frozen"/>
      <selection/>
      <selection pane="bottomLeft" activeCell="C13" sqref="C13"/>
    </sheetView>
  </sheetViews>
  <sheetFormatPr defaultColWidth="9" defaultRowHeight="12" outlineLevelCol="6"/>
  <cols>
    <col min="1" max="1" width="4.375" style="27" customWidth="1"/>
    <col min="2" max="2" width="26.875" style="27" customWidth="1"/>
    <col min="3" max="3" width="9" style="27"/>
    <col min="4" max="4" width="37.75" style="27" customWidth="1"/>
    <col min="5" max="5" width="25.875" style="27" customWidth="1"/>
    <col min="6" max="6" width="8.5" style="28" customWidth="1"/>
    <col min="7" max="7" width="9.125" style="28" customWidth="1"/>
    <col min="8" max="8" width="5.875" style="28" customWidth="1"/>
    <col min="9" max="9" width="9" style="28"/>
    <col min="10" max="10" width="32.5" style="28" customWidth="1"/>
    <col min="11" max="16384" width="9" style="28"/>
  </cols>
  <sheetData>
    <row r="1" spans="1:5">
      <c r="A1" s="29" t="s">
        <v>0</v>
      </c>
      <c r="B1" s="29"/>
      <c r="C1" s="29"/>
      <c r="D1" s="29"/>
      <c r="E1" s="29"/>
    </row>
    <row r="2" ht="27" customHeight="1" spans="1:7">
      <c r="A2" s="30" t="s">
        <v>1</v>
      </c>
      <c r="B2" s="30" t="s">
        <v>2</v>
      </c>
      <c r="C2" s="30" t="s">
        <v>3</v>
      </c>
      <c r="D2" s="30" t="s">
        <v>4</v>
      </c>
      <c r="E2" s="31" t="s">
        <v>5</v>
      </c>
      <c r="F2" s="31" t="s">
        <v>6</v>
      </c>
      <c r="G2" s="31" t="s">
        <v>7</v>
      </c>
    </row>
    <row r="3" spans="1:7">
      <c r="A3" s="32" t="s">
        <v>8</v>
      </c>
      <c r="B3" s="32"/>
      <c r="C3" s="32"/>
      <c r="D3" s="32"/>
      <c r="E3" s="32"/>
      <c r="F3" s="33"/>
      <c r="G3" s="33"/>
    </row>
    <row r="4" ht="18" customHeight="1" spans="1:7">
      <c r="A4" s="34">
        <f t="shared" ref="A4:A21" si="0">IF(COUNTA(B4)&gt;0,ROW(B4)-3,"")</f>
        <v>1</v>
      </c>
      <c r="B4" s="34" t="s">
        <v>9</v>
      </c>
      <c r="C4" s="35" t="str">
        <f t="shared" ref="C4:C21" si="1">IF(B4&lt;&gt;"",HYPERLINK("#"&amp;B4&amp;"!A1","链接"),"")</f>
        <v>链接</v>
      </c>
      <c r="D4" s="34" t="s">
        <v>10</v>
      </c>
      <c r="E4" s="36" t="s">
        <v>11</v>
      </c>
      <c r="F4" s="36"/>
      <c r="G4" s="34" t="s">
        <v>12</v>
      </c>
    </row>
    <row r="5" ht="18" customHeight="1" spans="1:7">
      <c r="A5" s="34">
        <f t="shared" si="0"/>
        <v>2</v>
      </c>
      <c r="B5" s="34" t="s">
        <v>13</v>
      </c>
      <c r="C5" s="35" t="str">
        <f t="shared" si="1"/>
        <v>链接</v>
      </c>
      <c r="D5" s="34" t="s">
        <v>14</v>
      </c>
      <c r="E5" s="36" t="s">
        <v>15</v>
      </c>
      <c r="F5" s="36"/>
      <c r="G5" s="34" t="s">
        <v>12</v>
      </c>
    </row>
    <row r="6" spans="1:7">
      <c r="A6" s="34">
        <f t="shared" si="0"/>
        <v>3</v>
      </c>
      <c r="B6" s="34" t="s">
        <v>16</v>
      </c>
      <c r="C6" s="35" t="str">
        <f t="shared" si="1"/>
        <v>链接</v>
      </c>
      <c r="D6" s="34" t="s">
        <v>17</v>
      </c>
      <c r="E6" s="36"/>
      <c r="F6" s="34"/>
      <c r="G6" s="34" t="s">
        <v>12</v>
      </c>
    </row>
    <row r="7" spans="1:7">
      <c r="A7" s="34">
        <f t="shared" si="0"/>
        <v>4</v>
      </c>
      <c r="B7" s="34" t="s">
        <v>18</v>
      </c>
      <c r="C7" s="35" t="str">
        <f t="shared" si="1"/>
        <v>链接</v>
      </c>
      <c r="D7" s="34" t="s">
        <v>19</v>
      </c>
      <c r="E7" s="36"/>
      <c r="F7" s="34"/>
      <c r="G7" s="34" t="s">
        <v>12</v>
      </c>
    </row>
    <row r="8" ht="18" customHeight="1" spans="1:7">
      <c r="A8" s="34">
        <f t="shared" si="0"/>
        <v>5</v>
      </c>
      <c r="B8" s="34" t="s">
        <v>20</v>
      </c>
      <c r="C8" s="35" t="str">
        <f t="shared" si="1"/>
        <v>链接</v>
      </c>
      <c r="D8" s="34" t="s">
        <v>21</v>
      </c>
      <c r="E8" s="36"/>
      <c r="F8" s="34"/>
      <c r="G8" s="34" t="s">
        <v>12</v>
      </c>
    </row>
    <row r="9" spans="1:7">
      <c r="A9" s="34">
        <f t="shared" si="0"/>
        <v>6</v>
      </c>
      <c r="B9" s="34" t="s">
        <v>22</v>
      </c>
      <c r="C9" s="35" t="str">
        <f t="shared" si="1"/>
        <v>链接</v>
      </c>
      <c r="D9" s="34" t="s">
        <v>23</v>
      </c>
      <c r="E9" s="36"/>
      <c r="F9" s="34"/>
      <c r="G9" s="34" t="s">
        <v>12</v>
      </c>
    </row>
    <row r="10" ht="18" customHeight="1" spans="1:7">
      <c r="A10" s="34">
        <f t="shared" si="0"/>
        <v>7</v>
      </c>
      <c r="B10" s="34" t="s">
        <v>24</v>
      </c>
      <c r="C10" s="35" t="str">
        <f t="shared" si="1"/>
        <v>链接</v>
      </c>
      <c r="D10" s="34" t="s">
        <v>25</v>
      </c>
      <c r="E10" s="36" t="s">
        <v>26</v>
      </c>
      <c r="F10" s="34"/>
      <c r="G10" s="34" t="s">
        <v>12</v>
      </c>
    </row>
    <row r="11" ht="18" customHeight="1" spans="1:7">
      <c r="A11" s="34">
        <f t="shared" si="0"/>
        <v>8</v>
      </c>
      <c r="B11" s="34" t="s">
        <v>27</v>
      </c>
      <c r="C11" s="34" t="str">
        <f t="shared" si="1"/>
        <v>链接</v>
      </c>
      <c r="D11" s="34" t="s">
        <v>28</v>
      </c>
      <c r="E11" s="34"/>
      <c r="F11" s="34"/>
      <c r="G11" s="34" t="s">
        <v>12</v>
      </c>
    </row>
    <row r="12" ht="18" customHeight="1" spans="1:7">
      <c r="A12" s="34">
        <f t="shared" si="0"/>
        <v>9</v>
      </c>
      <c r="B12" s="34" t="s">
        <v>29</v>
      </c>
      <c r="C12" s="35" t="str">
        <f t="shared" si="1"/>
        <v>链接</v>
      </c>
      <c r="D12" s="34" t="s">
        <v>30</v>
      </c>
      <c r="E12" s="36" t="s">
        <v>31</v>
      </c>
      <c r="F12" s="36"/>
      <c r="G12" s="34" t="s">
        <v>12</v>
      </c>
    </row>
    <row r="13" ht="18" customHeight="1" spans="1:7">
      <c r="A13" s="34">
        <f t="shared" si="0"/>
        <v>10</v>
      </c>
      <c r="B13" s="34" t="s">
        <v>32</v>
      </c>
      <c r="C13" s="35" t="str">
        <f t="shared" si="1"/>
        <v>链接</v>
      </c>
      <c r="D13" s="34" t="s">
        <v>33</v>
      </c>
      <c r="E13" s="36"/>
      <c r="F13" s="36"/>
      <c r="G13" s="34" t="s">
        <v>12</v>
      </c>
    </row>
    <row r="14" ht="27" customHeight="1" spans="1:7">
      <c r="A14" s="34">
        <f t="shared" si="0"/>
        <v>11</v>
      </c>
      <c r="B14" s="34" t="s">
        <v>34</v>
      </c>
      <c r="C14" s="35" t="str">
        <f t="shared" si="1"/>
        <v>链接</v>
      </c>
      <c r="D14" s="34" t="s">
        <v>35</v>
      </c>
      <c r="E14" s="36" t="s">
        <v>36</v>
      </c>
      <c r="F14" s="36"/>
      <c r="G14" s="34" t="s">
        <v>12</v>
      </c>
    </row>
    <row r="15" ht="18" customHeight="1" spans="1:7">
      <c r="A15" s="34">
        <f t="shared" si="0"/>
        <v>12</v>
      </c>
      <c r="B15" s="34" t="s">
        <v>37</v>
      </c>
      <c r="C15" s="35" t="str">
        <f t="shared" si="1"/>
        <v>链接</v>
      </c>
      <c r="D15" s="34" t="s">
        <v>38</v>
      </c>
      <c r="E15" s="36"/>
      <c r="F15" s="36"/>
      <c r="G15" s="34" t="s">
        <v>12</v>
      </c>
    </row>
    <row r="16" ht="18" customHeight="1" spans="1:7">
      <c r="A16" s="34">
        <f t="shared" si="0"/>
        <v>13</v>
      </c>
      <c r="B16" s="34" t="s">
        <v>39</v>
      </c>
      <c r="C16" s="35" t="str">
        <f t="shared" si="1"/>
        <v>链接</v>
      </c>
      <c r="D16" s="34" t="s">
        <v>40</v>
      </c>
      <c r="E16" s="36" t="s">
        <v>41</v>
      </c>
      <c r="F16" s="36"/>
      <c r="G16" s="34" t="s">
        <v>12</v>
      </c>
    </row>
    <row r="17" ht="24" spans="1:7">
      <c r="A17" s="37">
        <f t="shared" si="0"/>
        <v>14</v>
      </c>
      <c r="B17" s="37" t="s">
        <v>42</v>
      </c>
      <c r="C17" s="38" t="str">
        <f t="shared" si="1"/>
        <v>链接</v>
      </c>
      <c r="D17" s="37" t="s">
        <v>43</v>
      </c>
      <c r="E17" s="39" t="s">
        <v>44</v>
      </c>
      <c r="F17" s="39"/>
      <c r="G17" s="37" t="s">
        <v>12</v>
      </c>
    </row>
    <row r="18" ht="18" customHeight="1" spans="1:7">
      <c r="A18" s="34">
        <f t="shared" si="0"/>
        <v>15</v>
      </c>
      <c r="B18" s="34" t="s">
        <v>45</v>
      </c>
      <c r="C18" s="35" t="str">
        <f t="shared" si="1"/>
        <v>链接</v>
      </c>
      <c r="D18" s="34" t="s">
        <v>46</v>
      </c>
      <c r="E18" s="36"/>
      <c r="F18" s="36"/>
      <c r="G18" s="34" t="s">
        <v>12</v>
      </c>
    </row>
    <row r="19" ht="18" customHeight="1" spans="1:7">
      <c r="A19" s="34">
        <f t="shared" si="0"/>
        <v>16</v>
      </c>
      <c r="B19" s="34" t="s">
        <v>47</v>
      </c>
      <c r="C19" s="35" t="str">
        <f t="shared" si="1"/>
        <v>链接</v>
      </c>
      <c r="D19" s="34" t="s">
        <v>48</v>
      </c>
      <c r="E19" s="36" t="s">
        <v>49</v>
      </c>
      <c r="F19" s="36"/>
      <c r="G19" s="34" t="s">
        <v>12</v>
      </c>
    </row>
    <row r="20" ht="23" customHeight="1" spans="1:7">
      <c r="A20" s="34">
        <f t="shared" si="0"/>
        <v>17</v>
      </c>
      <c r="B20" s="34" t="s">
        <v>50</v>
      </c>
      <c r="C20" s="35" t="str">
        <f t="shared" si="1"/>
        <v>链接</v>
      </c>
      <c r="D20" s="34" t="s">
        <v>51</v>
      </c>
      <c r="E20" s="36" t="s">
        <v>52</v>
      </c>
      <c r="F20" s="36"/>
      <c r="G20" s="34" t="s">
        <v>12</v>
      </c>
    </row>
    <row r="21" ht="18" customHeight="1" spans="1:7">
      <c r="A21" s="34">
        <f t="shared" si="0"/>
        <v>18</v>
      </c>
      <c r="B21" s="34" t="s">
        <v>53</v>
      </c>
      <c r="C21" s="35" t="str">
        <f t="shared" si="1"/>
        <v>链接</v>
      </c>
      <c r="D21" s="34" t="s">
        <v>54</v>
      </c>
      <c r="E21" s="36"/>
      <c r="F21" s="36"/>
      <c r="G21" s="34" t="s">
        <v>12</v>
      </c>
    </row>
    <row r="22" ht="18" customHeight="1" spans="1:7">
      <c r="A22" s="34">
        <f t="shared" ref="A18:A26" si="2">IF(COUNTA(B22)&gt;0,ROW(B22)-3,"")</f>
        <v>19</v>
      </c>
      <c r="B22" s="34" t="s">
        <v>55</v>
      </c>
      <c r="C22" s="35" t="str">
        <f t="shared" ref="C18:C26" si="3">IF(B22&lt;&gt;"",HYPERLINK("#"&amp;B22&amp;"!A1","链接"),"")</f>
        <v>链接</v>
      </c>
      <c r="D22" s="34" t="s">
        <v>56</v>
      </c>
      <c r="E22" s="36"/>
      <c r="F22" s="36"/>
      <c r="G22" s="34" t="s">
        <v>12</v>
      </c>
    </row>
    <row r="23" ht="30" customHeight="1" spans="1:7">
      <c r="A23" s="34">
        <f t="shared" si="2"/>
        <v>20</v>
      </c>
      <c r="B23" s="34" t="s">
        <v>57</v>
      </c>
      <c r="C23" s="35" t="str">
        <f t="shared" si="3"/>
        <v>链接</v>
      </c>
      <c r="D23" s="34" t="s">
        <v>58</v>
      </c>
      <c r="E23" s="36" t="s">
        <v>59</v>
      </c>
      <c r="F23" s="36"/>
      <c r="G23" s="34" t="s">
        <v>12</v>
      </c>
    </row>
    <row r="24" ht="18" customHeight="1" spans="1:7">
      <c r="A24" s="34">
        <f t="shared" si="2"/>
        <v>21</v>
      </c>
      <c r="B24" s="34" t="s">
        <v>60</v>
      </c>
      <c r="C24" s="35" t="str">
        <f t="shared" si="3"/>
        <v>链接</v>
      </c>
      <c r="D24" s="34" t="s">
        <v>61</v>
      </c>
      <c r="E24" s="36"/>
      <c r="F24" s="36"/>
      <c r="G24" s="34"/>
    </row>
    <row r="25" ht="30" customHeight="1" spans="1:7">
      <c r="A25" s="40">
        <f t="shared" si="2"/>
        <v>22</v>
      </c>
      <c r="B25" s="40" t="s">
        <v>62</v>
      </c>
      <c r="C25" s="41" t="str">
        <f t="shared" si="3"/>
        <v>链接</v>
      </c>
      <c r="D25" s="40" t="s">
        <v>63</v>
      </c>
      <c r="E25" s="42" t="s">
        <v>64</v>
      </c>
      <c r="F25" s="43"/>
      <c r="G25" s="44"/>
    </row>
    <row r="26" ht="18" customHeight="1" spans="1:7">
      <c r="A26" s="40">
        <f t="shared" si="2"/>
        <v>23</v>
      </c>
      <c r="B26" s="40" t="s">
        <v>65</v>
      </c>
      <c r="C26" s="41" t="str">
        <f t="shared" si="3"/>
        <v>链接</v>
      </c>
      <c r="D26" s="40" t="s">
        <v>66</v>
      </c>
      <c r="E26" s="43"/>
      <c r="F26" s="43"/>
      <c r="G26" s="44"/>
    </row>
    <row r="27" ht="18" customHeight="1" spans="1:7">
      <c r="A27" s="33" t="str">
        <f t="shared" ref="A27:A36" si="4">IF(COUNTA(B27)&gt;0,ROW(B27)-3,"")</f>
        <v/>
      </c>
      <c r="B27" s="33"/>
      <c r="C27" s="45" t="str">
        <f t="shared" ref="C27:C37" si="5">IF(B27&lt;&gt;"",HYPERLINK("#"&amp;B27&amp;"!A1","链接"),"")</f>
        <v/>
      </c>
      <c r="D27" s="33"/>
      <c r="E27" s="33"/>
      <c r="F27" s="33"/>
      <c r="G27" s="33"/>
    </row>
    <row r="28" ht="18" customHeight="1" spans="1:7">
      <c r="A28" s="33" t="str">
        <f t="shared" si="4"/>
        <v/>
      </c>
      <c r="B28" s="33"/>
      <c r="C28" s="45" t="str">
        <f t="shared" si="5"/>
        <v/>
      </c>
      <c r="D28" s="33"/>
      <c r="E28" s="33"/>
      <c r="F28" s="33"/>
      <c r="G28" s="33"/>
    </row>
    <row r="29" ht="18" customHeight="1" spans="1:7">
      <c r="A29" s="33" t="str">
        <f t="shared" si="4"/>
        <v/>
      </c>
      <c r="B29" s="33"/>
      <c r="C29" s="45" t="str">
        <f t="shared" si="5"/>
        <v/>
      </c>
      <c r="D29" s="33"/>
      <c r="E29" s="33"/>
      <c r="F29" s="33"/>
      <c r="G29" s="33"/>
    </row>
    <row r="30" ht="18" customHeight="1" spans="1:7">
      <c r="A30" s="33" t="str">
        <f t="shared" si="4"/>
        <v/>
      </c>
      <c r="B30" s="33"/>
      <c r="C30" s="45" t="str">
        <f t="shared" si="5"/>
        <v/>
      </c>
      <c r="D30" s="33"/>
      <c r="E30" s="33"/>
      <c r="F30" s="33"/>
      <c r="G30" s="33"/>
    </row>
    <row r="31" ht="18" customHeight="1" spans="1:7">
      <c r="A31" s="33" t="str">
        <f t="shared" si="4"/>
        <v/>
      </c>
      <c r="B31" s="33"/>
      <c r="C31" s="45" t="str">
        <f t="shared" si="5"/>
        <v/>
      </c>
      <c r="D31" s="33"/>
      <c r="E31" s="33"/>
      <c r="F31" s="33"/>
      <c r="G31" s="33"/>
    </row>
    <row r="32" ht="18" customHeight="1" spans="1:7">
      <c r="A32" s="33" t="str">
        <f t="shared" si="4"/>
        <v/>
      </c>
      <c r="B32" s="33"/>
      <c r="C32" s="45" t="str">
        <f t="shared" si="5"/>
        <v/>
      </c>
      <c r="D32" s="33"/>
      <c r="E32" s="33"/>
      <c r="F32" s="33"/>
      <c r="G32" s="33"/>
    </row>
    <row r="33" ht="18" customHeight="1" spans="1:7">
      <c r="A33" s="33" t="str">
        <f t="shared" si="4"/>
        <v/>
      </c>
      <c r="B33" s="33"/>
      <c r="C33" s="45" t="str">
        <f t="shared" si="5"/>
        <v/>
      </c>
      <c r="D33" s="33"/>
      <c r="E33" s="33"/>
      <c r="F33" s="33"/>
      <c r="G33" s="33"/>
    </row>
    <row r="34" ht="18" customHeight="1" spans="1:7">
      <c r="A34" s="33" t="str">
        <f t="shared" si="4"/>
        <v/>
      </c>
      <c r="B34" s="33"/>
      <c r="C34" s="45" t="str">
        <f t="shared" si="5"/>
        <v/>
      </c>
      <c r="D34" s="33"/>
      <c r="E34" s="33"/>
      <c r="F34" s="33"/>
      <c r="G34" s="33"/>
    </row>
    <row r="35" ht="18" customHeight="1" spans="1:7">
      <c r="A35" s="33" t="str">
        <f t="shared" si="4"/>
        <v/>
      </c>
      <c r="B35" s="33"/>
      <c r="C35" s="45" t="str">
        <f t="shared" si="5"/>
        <v/>
      </c>
      <c r="D35" s="33"/>
      <c r="E35" s="33"/>
      <c r="F35" s="33"/>
      <c r="G35" s="33"/>
    </row>
    <row r="36" ht="18" customHeight="1" spans="1:7">
      <c r="A36" s="33" t="str">
        <f t="shared" si="4"/>
        <v/>
      </c>
      <c r="B36" s="33"/>
      <c r="C36" s="45" t="str">
        <f t="shared" si="5"/>
        <v/>
      </c>
      <c r="D36" s="33"/>
      <c r="E36" s="33"/>
      <c r="F36" s="33"/>
      <c r="G36" s="33"/>
    </row>
    <row r="37" ht="18" customHeight="1" spans="1:7">
      <c r="A37" s="33" t="str">
        <f t="shared" ref="A37:A46" si="6">IF(COUNTA(B37)&gt;0,ROW(B37)-2,"")</f>
        <v/>
      </c>
      <c r="B37" s="33"/>
      <c r="C37" s="45" t="str">
        <f t="shared" si="5"/>
        <v/>
      </c>
      <c r="D37" s="33"/>
      <c r="E37" s="33"/>
      <c r="F37" s="33"/>
      <c r="G37" s="33"/>
    </row>
    <row r="38" spans="1:3">
      <c r="A38" s="27" t="str">
        <f t="shared" si="6"/>
        <v/>
      </c>
      <c r="C38" s="46"/>
    </row>
    <row r="39" spans="1:1">
      <c r="A39" s="27" t="str">
        <f t="shared" si="6"/>
        <v/>
      </c>
    </row>
    <row r="40" spans="1:1">
      <c r="A40" s="27" t="str">
        <f t="shared" si="6"/>
        <v/>
      </c>
    </row>
    <row r="41" spans="1:1">
      <c r="A41" s="27" t="str">
        <f t="shared" si="6"/>
        <v/>
      </c>
    </row>
    <row r="42" spans="1:1">
      <c r="A42" s="27" t="str">
        <f t="shared" si="6"/>
        <v/>
      </c>
    </row>
    <row r="43" spans="1:1">
      <c r="A43" s="27" t="str">
        <f t="shared" si="6"/>
        <v/>
      </c>
    </row>
    <row r="44" spans="1:1">
      <c r="A44" s="27" t="str">
        <f t="shared" si="6"/>
        <v/>
      </c>
    </row>
    <row r="45" spans="1:1">
      <c r="A45" s="27" t="str">
        <f t="shared" si="6"/>
        <v/>
      </c>
    </row>
    <row r="46" spans="1:1">
      <c r="A46" s="27" t="str">
        <f t="shared" si="6"/>
        <v/>
      </c>
    </row>
  </sheetData>
  <mergeCells count="2">
    <mergeCell ref="A1:E1"/>
    <mergeCell ref="A3:E3"/>
  </mergeCells>
  <dataValidations count="1">
    <dataValidation type="list" allowBlank="1" showInputMessage="1" showErrorMessage="1" sqref="F3 F4 F5 F6 F7 F8 F9 F10 F11 F16 F17 F18 F12:F15 F19:F21 F22:F26">
      <formula1>"是,否"</formula1>
    </dataValidation>
  </dataValidations>
  <pageMargins left="0.75" right="0.75" top="1" bottom="1" header="0.510416666666667" footer="0.510416666666667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btnCreate">
          <controlPr defaultSize="0" r:id="rId4">
            <anchor moveWithCells="1">
              <from>
                <xdr:col>9</xdr:col>
                <xdr:colOff>409575</xdr:colOff>
                <xdr:row>0</xdr:row>
                <xdr:rowOff>152400</xdr:rowOff>
              </from>
              <to>
                <xdr:col>9</xdr:col>
                <xdr:colOff>1085850</xdr:colOff>
                <xdr:row>1</xdr:row>
                <xdr:rowOff>314325</xdr:rowOff>
              </to>
            </anchor>
          </controlPr>
        </control>
      </mc:Choice>
      <mc:Fallback>
        <control shapeId="1025" r:id="rId3" name="btnCreate"/>
      </mc:Fallback>
    </mc:AlternateContent>
    <mc:AlternateContent xmlns:mc="http://schemas.openxmlformats.org/markup-compatibility/2006">
      <mc:Choice Requires="x14">
        <control shapeId="1026" r:id="rId5" name="Label1">
          <controlPr defaultSize="0" r:id="rId6">
            <anchor moveWithCells="1">
              <from>
                <xdr:col>8</xdr:col>
                <xdr:colOff>38100</xdr:colOff>
                <xdr:row>1</xdr:row>
                <xdr:rowOff>19050</xdr:rowOff>
              </from>
              <to>
                <xdr:col>8</xdr:col>
                <xdr:colOff>400050</xdr:colOff>
                <xdr:row>1</xdr:row>
                <xdr:rowOff>247650</xdr:rowOff>
              </to>
            </anchor>
          </controlPr>
        </control>
      </mc:Choice>
      <mc:Fallback>
        <control shapeId="1026" r:id="rId5" name="Label1"/>
      </mc:Fallback>
    </mc:AlternateContent>
    <mc:AlternateContent xmlns:mc="http://schemas.openxmlformats.org/markup-compatibility/2006">
      <mc:Choice Requires="x14">
        <control shapeId="1029" r:id="rId7" name="TextBox1">
          <controlPr defaultSize="0" r:id="rId8">
            <anchor moveWithCells="1">
              <from>
                <xdr:col>8</xdr:col>
                <xdr:colOff>485775</xdr:colOff>
                <xdr:row>1</xdr:row>
                <xdr:rowOff>0</xdr:rowOff>
              </from>
              <to>
                <xdr:col>9</xdr:col>
                <xdr:colOff>342900</xdr:colOff>
                <xdr:row>1</xdr:row>
                <xdr:rowOff>247650</xdr:rowOff>
              </to>
            </anchor>
          </controlPr>
        </control>
      </mc:Choice>
      <mc:Fallback>
        <control shapeId="1029" r:id="rId7" name="TextBox1"/>
      </mc:Fallback>
    </mc:AlternateContent>
    <mc:AlternateContent xmlns:mc="http://schemas.openxmlformats.org/markup-compatibility/2006">
      <mc:Choice Requires="x14">
        <control shapeId="1030" r:id="rId9" name="btnUpdate">
          <controlPr defaultSize="0" r:id="rId10">
            <anchor moveWithCells="1">
              <from>
                <xdr:col>9</xdr:col>
                <xdr:colOff>1609725</xdr:colOff>
                <xdr:row>1</xdr:row>
                <xdr:rowOff>0</xdr:rowOff>
              </from>
              <to>
                <xdr:col>10</xdr:col>
                <xdr:colOff>581025</xdr:colOff>
                <xdr:row>1</xdr:row>
                <xdr:rowOff>266700</xdr:rowOff>
              </to>
            </anchor>
          </controlPr>
        </control>
      </mc:Choice>
      <mc:Fallback>
        <control shapeId="1030" r:id="rId9" name="btn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I20"/>
  <sheetViews>
    <sheetView workbookViewId="0">
      <selection activeCell="A5" sqref="A5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5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/>
      <c r="C2" s="4"/>
      <c r="D2" s="4"/>
      <c r="E2" s="3" t="s">
        <v>69</v>
      </c>
      <c r="F2" s="3"/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7"/>
      <c r="B4" s="7"/>
      <c r="C4" s="7"/>
      <c r="D4" s="7"/>
      <c r="E4" s="7" t="s">
        <v>78</v>
      </c>
      <c r="F4" s="7" t="s">
        <v>79</v>
      </c>
      <c r="G4" s="7"/>
      <c r="H4" s="26"/>
      <c r="I4" s="7" t="s">
        <v>80</v>
      </c>
    </row>
    <row r="5" spans="1:9">
      <c r="A5" s="6" t="s">
        <v>81</v>
      </c>
      <c r="B5" s="6" t="s">
        <v>82</v>
      </c>
      <c r="C5" s="7" t="s">
        <v>83</v>
      </c>
      <c r="D5" s="6">
        <v>36</v>
      </c>
      <c r="E5" s="7" t="s">
        <v>78</v>
      </c>
      <c r="F5" s="7" t="s">
        <v>79</v>
      </c>
      <c r="G5" s="7"/>
      <c r="H5" s="10"/>
      <c r="I5" s="6" t="s">
        <v>80</v>
      </c>
    </row>
    <row r="6" spans="1:9">
      <c r="A6" s="6"/>
      <c r="B6" s="6"/>
      <c r="C6" s="7"/>
      <c r="D6" s="6"/>
      <c r="E6" s="7"/>
      <c r="F6" s="7"/>
      <c r="G6" s="7"/>
      <c r="H6" s="7"/>
      <c r="I6" s="6"/>
    </row>
    <row r="7" spans="1:9">
      <c r="A7" s="6"/>
      <c r="B7" s="6"/>
      <c r="C7" s="7"/>
      <c r="D7" s="6"/>
      <c r="E7" s="7"/>
      <c r="F7" s="7"/>
      <c r="G7" s="7"/>
      <c r="H7" s="7"/>
      <c r="I7" s="6"/>
    </row>
    <row r="8" spans="1:9">
      <c r="A8" s="6"/>
      <c r="B8" s="6"/>
      <c r="C8" s="7"/>
      <c r="D8" s="6"/>
      <c r="E8" s="7"/>
      <c r="F8" s="7"/>
      <c r="G8" s="7"/>
      <c r="H8" s="7"/>
      <c r="I8" s="6"/>
    </row>
    <row r="9" spans="1:9">
      <c r="A9" s="6"/>
      <c r="B9" s="6"/>
      <c r="C9" s="7"/>
      <c r="D9" s="6"/>
      <c r="E9" s="7"/>
      <c r="F9" s="7"/>
      <c r="G9" s="7"/>
      <c r="H9" s="7"/>
      <c r="I9" s="6"/>
    </row>
    <row r="10" spans="1:9">
      <c r="A10" s="6"/>
      <c r="B10" s="6"/>
      <c r="C10" s="7"/>
      <c r="D10" s="6"/>
      <c r="E10" s="7"/>
      <c r="F10" s="7"/>
      <c r="G10" s="7"/>
      <c r="H10" s="7"/>
      <c r="I10" s="6"/>
    </row>
    <row r="11" spans="1:9">
      <c r="A11" s="6"/>
      <c r="B11" s="6"/>
      <c r="C11" s="7"/>
      <c r="D11" s="6"/>
      <c r="E11" s="7"/>
      <c r="F11" s="7"/>
      <c r="G11" s="7"/>
      <c r="H11" s="7"/>
      <c r="I11" s="6"/>
    </row>
    <row r="12" spans="1:9">
      <c r="A12" s="6"/>
      <c r="B12" s="6"/>
      <c r="C12" s="7"/>
      <c r="D12" s="6"/>
      <c r="E12" s="7"/>
      <c r="F12" s="7"/>
      <c r="G12" s="7"/>
      <c r="H12" s="7"/>
      <c r="I12" s="6"/>
    </row>
    <row r="13" spans="1:9">
      <c r="A13" s="6"/>
      <c r="B13" s="6"/>
      <c r="C13" s="7"/>
      <c r="D13" s="6"/>
      <c r="E13" s="7"/>
      <c r="F13" s="7"/>
      <c r="G13" s="7"/>
      <c r="H13" s="7"/>
      <c r="I13" s="6"/>
    </row>
    <row r="14" spans="1:9">
      <c r="A14" s="6"/>
      <c r="B14" s="6"/>
      <c r="C14" s="7"/>
      <c r="D14" s="6"/>
      <c r="E14" s="7"/>
      <c r="F14" s="7"/>
      <c r="G14" s="7"/>
      <c r="H14" s="7"/>
      <c r="I14" s="6"/>
    </row>
    <row r="15" spans="1:9">
      <c r="A15" s="21"/>
      <c r="B15" s="21"/>
      <c r="C15" s="7"/>
      <c r="D15" s="22"/>
      <c r="E15" s="7"/>
      <c r="F15" s="7"/>
      <c r="G15" s="7"/>
      <c r="H15" s="7"/>
      <c r="I15" s="23"/>
    </row>
    <row r="16" spans="1:9">
      <c r="A16" s="11" t="s">
        <v>84</v>
      </c>
      <c r="B16" s="12" t="s">
        <v>85</v>
      </c>
      <c r="C16" s="13" t="s">
        <v>86</v>
      </c>
      <c r="D16" s="11"/>
      <c r="E16" s="13"/>
      <c r="F16" s="11" t="s">
        <v>79</v>
      </c>
      <c r="G16" s="14"/>
      <c r="H16" s="14"/>
      <c r="I16" s="12" t="s">
        <v>87</v>
      </c>
    </row>
    <row r="17" spans="1:9">
      <c r="A17" s="13" t="s">
        <v>88</v>
      </c>
      <c r="B17" s="13" t="s">
        <v>89</v>
      </c>
      <c r="C17" s="13" t="s">
        <v>86</v>
      </c>
      <c r="D17" s="11"/>
      <c r="E17" s="13"/>
      <c r="F17" s="11" t="s">
        <v>79</v>
      </c>
      <c r="G17" s="14"/>
      <c r="H17" s="14"/>
      <c r="I17" s="13" t="s">
        <v>90</v>
      </c>
    </row>
    <row r="18" ht="24" spans="1:9">
      <c r="A18" s="11" t="s">
        <v>91</v>
      </c>
      <c r="B18" s="13" t="s">
        <v>92</v>
      </c>
      <c r="C18" s="13" t="s">
        <v>93</v>
      </c>
      <c r="D18" s="11">
        <v>8</v>
      </c>
      <c r="E18" s="13"/>
      <c r="F18" s="11" t="s">
        <v>79</v>
      </c>
      <c r="G18" s="14"/>
      <c r="H18" s="14"/>
      <c r="I18" s="13" t="s">
        <v>94</v>
      </c>
    </row>
    <row r="19" ht="24" spans="1:9">
      <c r="A19" s="11" t="s">
        <v>95</v>
      </c>
      <c r="B19" s="13" t="s">
        <v>96</v>
      </c>
      <c r="C19" s="13" t="s">
        <v>93</v>
      </c>
      <c r="D19" s="11">
        <v>8</v>
      </c>
      <c r="E19" s="13"/>
      <c r="F19" s="11" t="s">
        <v>79</v>
      </c>
      <c r="G19" s="14"/>
      <c r="H19" s="14"/>
      <c r="I19" s="13" t="s">
        <v>97</v>
      </c>
    </row>
    <row r="20" ht="88" customHeight="1" spans="1:9">
      <c r="A20" s="8" t="s">
        <v>98</v>
      </c>
      <c r="B20" s="9"/>
      <c r="C20" s="9"/>
      <c r="D20" s="9"/>
      <c r="E20" s="9"/>
      <c r="F20" s="9"/>
      <c r="G20" s="9"/>
      <c r="H20" s="9"/>
      <c r="I20" s="9"/>
    </row>
  </sheetData>
  <mergeCells count="3">
    <mergeCell ref="B2:C2"/>
    <mergeCell ref="F2:I2"/>
    <mergeCell ref="B20:I20"/>
  </mergeCells>
  <dataValidations count="3">
    <dataValidation type="list" allowBlank="1" showInputMessage="1" showErrorMessage="1" sqref="C16 C17 C18 C19 C4:C15">
      <formula1>"uuid,string,integer,long,double,float,boolean,date,timestamp,binary,clob,String[],Object[],byte[]"</formula1>
    </dataValidation>
    <dataValidation type="list" allowBlank="1" showInputMessage="1" showErrorMessage="1" sqref="F16 F17 F18 F19 F4:F15">
      <formula1>"Y,N"</formula1>
    </dataValidation>
    <dataValidation type="list" allowBlank="1" showInputMessage="1" showErrorMessage="1" sqref="E4:E15 E16:E19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I14"/>
  <sheetViews>
    <sheetView workbookViewId="0">
      <selection activeCell="A1" sqref="A1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13</v>
      </c>
      <c r="C2" s="4"/>
      <c r="D2" s="4"/>
      <c r="E2" s="3" t="s">
        <v>69</v>
      </c>
      <c r="F2" s="3" t="s">
        <v>14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81</v>
      </c>
      <c r="B4" s="6" t="s">
        <v>82</v>
      </c>
      <c r="C4" s="7" t="s">
        <v>83</v>
      </c>
      <c r="D4" s="6">
        <v>36</v>
      </c>
      <c r="E4" s="7" t="s">
        <v>78</v>
      </c>
      <c r="F4" s="7" t="s">
        <v>79</v>
      </c>
      <c r="G4" s="7"/>
      <c r="H4" s="10"/>
      <c r="I4" s="6" t="s">
        <v>80</v>
      </c>
    </row>
    <row r="5" spans="1:9">
      <c r="A5" s="6" t="s">
        <v>99</v>
      </c>
      <c r="B5" s="6" t="s">
        <v>100</v>
      </c>
      <c r="C5" s="7" t="s">
        <v>101</v>
      </c>
      <c r="D5" s="6">
        <v>20</v>
      </c>
      <c r="E5" s="7" t="s">
        <v>102</v>
      </c>
      <c r="F5" s="7"/>
      <c r="G5" s="7"/>
      <c r="H5" s="7"/>
      <c r="I5" s="6"/>
    </row>
    <row r="6" spans="1:9">
      <c r="A6" s="6" t="s">
        <v>103</v>
      </c>
      <c r="B6" s="6" t="s">
        <v>104</v>
      </c>
      <c r="C6" s="7" t="s">
        <v>101</v>
      </c>
      <c r="D6" s="6">
        <v>20</v>
      </c>
      <c r="E6" s="7"/>
      <c r="F6" s="7"/>
      <c r="G6" s="7"/>
      <c r="H6" s="7"/>
      <c r="I6" s="6"/>
    </row>
    <row r="7" spans="1:9">
      <c r="A7" s="6" t="s">
        <v>105</v>
      </c>
      <c r="B7" s="6" t="s">
        <v>106</v>
      </c>
      <c r="C7" s="7" t="s">
        <v>101</v>
      </c>
      <c r="D7" s="6">
        <v>80</v>
      </c>
      <c r="E7" s="7"/>
      <c r="F7" s="7"/>
      <c r="G7" s="7"/>
      <c r="H7" s="7"/>
      <c r="I7" s="6"/>
    </row>
    <row r="8" spans="1:9">
      <c r="A8" s="6" t="s">
        <v>107</v>
      </c>
      <c r="B8" s="6" t="s">
        <v>108</v>
      </c>
      <c r="C8" s="7" t="s">
        <v>93</v>
      </c>
      <c r="D8" s="6">
        <v>1</v>
      </c>
      <c r="E8" s="7"/>
      <c r="F8" s="7"/>
      <c r="G8" s="7"/>
      <c r="H8" s="7"/>
      <c r="I8" s="6"/>
    </row>
    <row r="9" spans="1:9">
      <c r="A9" s="6" t="s">
        <v>109</v>
      </c>
      <c r="B9" s="6" t="s">
        <v>110</v>
      </c>
      <c r="C9" s="7" t="s">
        <v>111</v>
      </c>
      <c r="D9" s="6"/>
      <c r="E9" s="7"/>
      <c r="F9" s="7"/>
      <c r="G9" s="7"/>
      <c r="H9" s="7"/>
      <c r="I9" s="6" t="s">
        <v>112</v>
      </c>
    </row>
    <row r="10" spans="1:9">
      <c r="A10" s="11" t="s">
        <v>84</v>
      </c>
      <c r="B10" s="12" t="s">
        <v>85</v>
      </c>
      <c r="C10" s="13" t="s">
        <v>86</v>
      </c>
      <c r="D10" s="11"/>
      <c r="E10" s="13"/>
      <c r="F10" s="11" t="s">
        <v>79</v>
      </c>
      <c r="G10" s="14"/>
      <c r="H10" s="14"/>
      <c r="I10" s="12" t="s">
        <v>87</v>
      </c>
    </row>
    <row r="11" spans="1:9">
      <c r="A11" s="13" t="s">
        <v>88</v>
      </c>
      <c r="B11" s="13" t="s">
        <v>89</v>
      </c>
      <c r="C11" s="13" t="s">
        <v>86</v>
      </c>
      <c r="D11" s="11"/>
      <c r="E11" s="13"/>
      <c r="F11" s="11" t="s">
        <v>79</v>
      </c>
      <c r="G11" s="14"/>
      <c r="H11" s="14"/>
      <c r="I11" s="13" t="s">
        <v>90</v>
      </c>
    </row>
    <row r="12" ht="24" spans="1:9">
      <c r="A12" s="11" t="s">
        <v>91</v>
      </c>
      <c r="B12" s="13" t="s">
        <v>92</v>
      </c>
      <c r="C12" s="13" t="s">
        <v>93</v>
      </c>
      <c r="D12" s="11">
        <v>8</v>
      </c>
      <c r="E12" s="13"/>
      <c r="F12" s="11" t="s">
        <v>79</v>
      </c>
      <c r="G12" s="14"/>
      <c r="H12" s="14"/>
      <c r="I12" s="13" t="s">
        <v>94</v>
      </c>
    </row>
    <row r="13" ht="24" spans="1:9">
      <c r="A13" s="11" t="s">
        <v>95</v>
      </c>
      <c r="B13" s="13" t="s">
        <v>96</v>
      </c>
      <c r="C13" s="13" t="s">
        <v>93</v>
      </c>
      <c r="D13" s="11">
        <v>8</v>
      </c>
      <c r="E13" s="13"/>
      <c r="F13" s="11" t="s">
        <v>79</v>
      </c>
      <c r="G13" s="14"/>
      <c r="H13" s="14"/>
      <c r="I13" s="13" t="s">
        <v>97</v>
      </c>
    </row>
    <row r="14" ht="88" customHeight="1" spans="1:9">
      <c r="A14" s="8" t="s">
        <v>98</v>
      </c>
      <c r="B14" s="9"/>
      <c r="C14" s="9"/>
      <c r="D14" s="9"/>
      <c r="E14" s="9"/>
      <c r="F14" s="9"/>
      <c r="G14" s="9"/>
      <c r="H14" s="9"/>
      <c r="I14" s="9"/>
    </row>
  </sheetData>
  <mergeCells count="3">
    <mergeCell ref="B2:C2"/>
    <mergeCell ref="F2:I2"/>
    <mergeCell ref="B14:I14"/>
  </mergeCells>
  <dataValidations count="3">
    <dataValidation type="list" allowBlank="1" showInputMessage="1" showErrorMessage="1" sqref="C10 C11 C12 C13 C4:C9">
      <formula1>"uuid,string,integer,long,double,float,boolean,date,timestamp,binary,clob,String[],Object[],byte[]"</formula1>
    </dataValidation>
    <dataValidation type="list" allowBlank="1" showInputMessage="1" showErrorMessage="1" sqref="F10 F11 F12 F13 F4:F9">
      <formula1>"Y,N"</formula1>
    </dataValidation>
    <dataValidation type="list" allowBlank="1" showInputMessage="1" showErrorMessage="1" sqref="E4:E9 E10:E13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15"/>
  <sheetViews>
    <sheetView workbookViewId="0">
      <selection activeCell="A10" sqref="$A10:$XFD10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16</v>
      </c>
      <c r="C2" s="4"/>
      <c r="D2" s="4"/>
      <c r="E2" s="3" t="s">
        <v>69</v>
      </c>
      <c r="F2" s="3" t="s">
        <v>17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81</v>
      </c>
      <c r="B4" s="6" t="s">
        <v>82</v>
      </c>
      <c r="C4" s="7" t="s">
        <v>83</v>
      </c>
      <c r="D4" s="6">
        <v>36</v>
      </c>
      <c r="E4" s="7" t="s">
        <v>78</v>
      </c>
      <c r="F4" s="7" t="s">
        <v>79</v>
      </c>
      <c r="G4" s="7"/>
      <c r="H4" s="10"/>
      <c r="I4" s="6" t="s">
        <v>113</v>
      </c>
    </row>
    <row r="5" spans="1:9">
      <c r="A5" s="6" t="s">
        <v>114</v>
      </c>
      <c r="B5" s="6" t="s">
        <v>115</v>
      </c>
      <c r="C5" s="7" t="s">
        <v>101</v>
      </c>
      <c r="D5" s="6">
        <v>20</v>
      </c>
      <c r="E5" s="7" t="s">
        <v>102</v>
      </c>
      <c r="F5" s="7" t="s">
        <v>79</v>
      </c>
      <c r="G5" s="7"/>
      <c r="H5" s="7"/>
      <c r="I5" s="6"/>
    </row>
    <row r="6" spans="1:9">
      <c r="A6" s="6" t="s">
        <v>116</v>
      </c>
      <c r="B6" s="6" t="s">
        <v>117</v>
      </c>
      <c r="C6" s="7" t="s">
        <v>101</v>
      </c>
      <c r="D6" s="6">
        <v>20</v>
      </c>
      <c r="E6" s="7"/>
      <c r="F6" s="7" t="s">
        <v>79</v>
      </c>
      <c r="G6" s="7"/>
      <c r="H6" s="7"/>
      <c r="I6" s="6"/>
    </row>
    <row r="7" spans="1:9">
      <c r="A7" s="6" t="s">
        <v>118</v>
      </c>
      <c r="B7" s="6" t="s">
        <v>119</v>
      </c>
      <c r="C7" s="7" t="s">
        <v>101</v>
      </c>
      <c r="D7" s="6">
        <v>20</v>
      </c>
      <c r="E7" s="7"/>
      <c r="F7" s="7" t="s">
        <v>79</v>
      </c>
      <c r="G7" s="7"/>
      <c r="H7" s="7"/>
      <c r="I7" s="6" t="s">
        <v>120</v>
      </c>
    </row>
    <row r="8" spans="1:9">
      <c r="A8" s="6" t="s">
        <v>121</v>
      </c>
      <c r="B8" s="6" t="s">
        <v>122</v>
      </c>
      <c r="C8" s="7" t="s">
        <v>101</v>
      </c>
      <c r="D8" s="6">
        <v>50</v>
      </c>
      <c r="E8" s="7"/>
      <c r="F8" s="7"/>
      <c r="G8" s="7"/>
      <c r="H8" s="7"/>
      <c r="I8" s="6"/>
    </row>
    <row r="9" spans="1:9">
      <c r="A9" s="6" t="s">
        <v>123</v>
      </c>
      <c r="B9" s="6" t="s">
        <v>124</v>
      </c>
      <c r="C9" s="7" t="s">
        <v>101</v>
      </c>
      <c r="D9" s="6">
        <v>4</v>
      </c>
      <c r="E9" s="7"/>
      <c r="F9" s="7"/>
      <c r="G9" s="7"/>
      <c r="H9" s="7"/>
      <c r="I9" s="6" t="s">
        <v>125</v>
      </c>
    </row>
    <row r="10" spans="1:9">
      <c r="A10" s="6" t="s">
        <v>5</v>
      </c>
      <c r="B10" s="6" t="s">
        <v>126</v>
      </c>
      <c r="C10" s="7" t="s">
        <v>101</v>
      </c>
      <c r="D10" s="6">
        <v>400</v>
      </c>
      <c r="E10" s="7"/>
      <c r="F10" s="7"/>
      <c r="G10" s="7"/>
      <c r="H10" s="7"/>
      <c r="I10" s="6"/>
    </row>
    <row r="11" spans="1:9">
      <c r="A11" s="11" t="s">
        <v>84</v>
      </c>
      <c r="B11" s="12" t="s">
        <v>85</v>
      </c>
      <c r="C11" s="13" t="s">
        <v>86</v>
      </c>
      <c r="D11" s="11"/>
      <c r="E11" s="13"/>
      <c r="F11" s="11" t="s">
        <v>79</v>
      </c>
      <c r="G11" s="14"/>
      <c r="H11" s="14"/>
      <c r="I11" s="12" t="s">
        <v>87</v>
      </c>
    </row>
    <row r="12" spans="1:9">
      <c r="A12" s="13" t="s">
        <v>88</v>
      </c>
      <c r="B12" s="13" t="s">
        <v>89</v>
      </c>
      <c r="C12" s="13" t="s">
        <v>86</v>
      </c>
      <c r="D12" s="11"/>
      <c r="E12" s="13"/>
      <c r="F12" s="11" t="s">
        <v>79</v>
      </c>
      <c r="G12" s="14"/>
      <c r="H12" s="14"/>
      <c r="I12" s="13" t="s">
        <v>90</v>
      </c>
    </row>
    <row r="13" ht="24" spans="1:9">
      <c r="A13" s="11" t="s">
        <v>91</v>
      </c>
      <c r="B13" s="13" t="s">
        <v>92</v>
      </c>
      <c r="C13" s="13" t="s">
        <v>93</v>
      </c>
      <c r="D13" s="11">
        <v>8</v>
      </c>
      <c r="E13" s="13"/>
      <c r="F13" s="11" t="s">
        <v>79</v>
      </c>
      <c r="G13" s="14"/>
      <c r="H13" s="14"/>
      <c r="I13" s="13" t="s">
        <v>94</v>
      </c>
    </row>
    <row r="14" ht="24" spans="1:9">
      <c r="A14" s="11" t="s">
        <v>95</v>
      </c>
      <c r="B14" s="13" t="s">
        <v>96</v>
      </c>
      <c r="C14" s="13" t="s">
        <v>93</v>
      </c>
      <c r="D14" s="11">
        <v>8</v>
      </c>
      <c r="E14" s="13"/>
      <c r="F14" s="11" t="s">
        <v>79</v>
      </c>
      <c r="G14" s="14"/>
      <c r="H14" s="14"/>
      <c r="I14" s="13" t="s">
        <v>97</v>
      </c>
    </row>
    <row r="15" ht="88" customHeight="1" spans="1:9">
      <c r="A15" s="8" t="s">
        <v>98</v>
      </c>
      <c r="B15" s="9"/>
      <c r="C15" s="9"/>
      <c r="D15" s="9"/>
      <c r="E15" s="9"/>
      <c r="F15" s="9"/>
      <c r="G15" s="9"/>
      <c r="H15" s="9"/>
      <c r="I15" s="9"/>
    </row>
  </sheetData>
  <mergeCells count="3">
    <mergeCell ref="B2:C2"/>
    <mergeCell ref="F2:I2"/>
    <mergeCell ref="B15:I15"/>
  </mergeCells>
  <dataValidations count="3">
    <dataValidation type="list" allowBlank="1" showInputMessage="1" showErrorMessage="1" sqref="C4 C11 C12 C13 C14 C5:C10">
      <formula1>"uuid,string,integer,long,double,float,boolean,date,timestamp,binary,clob,String[],Object[],byte[]"</formula1>
    </dataValidation>
    <dataValidation type="list" allowBlank="1" showInputMessage="1" showErrorMessage="1" sqref="F11 F12 F13 F14 F4:F10">
      <formula1>"Y,N"</formula1>
    </dataValidation>
    <dataValidation type="list" allowBlank="1" showInputMessage="1" showErrorMessage="1" sqref="E4:E10 E11:E14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18"/>
  <sheetViews>
    <sheetView tabSelected="1" workbookViewId="0">
      <selection activeCell="D9" sqref="D9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18</v>
      </c>
      <c r="C2" s="4"/>
      <c r="D2" s="4"/>
      <c r="E2" s="3" t="s">
        <v>69</v>
      </c>
      <c r="F2" s="3" t="s">
        <v>19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81</v>
      </c>
      <c r="B4" s="6" t="s">
        <v>82</v>
      </c>
      <c r="C4" s="7" t="s">
        <v>83</v>
      </c>
      <c r="D4" s="6">
        <v>36</v>
      </c>
      <c r="E4" s="7" t="s">
        <v>78</v>
      </c>
      <c r="F4" s="7" t="s">
        <v>79</v>
      </c>
      <c r="G4" s="7"/>
      <c r="H4" s="10"/>
      <c r="I4" s="6" t="s">
        <v>80</v>
      </c>
    </row>
    <row r="5" spans="1:9">
      <c r="A5" s="6" t="s">
        <v>127</v>
      </c>
      <c r="B5" s="6" t="s">
        <v>128</v>
      </c>
      <c r="C5" s="7" t="s">
        <v>83</v>
      </c>
      <c r="D5" s="6">
        <v>36</v>
      </c>
      <c r="E5" s="7"/>
      <c r="F5" s="7"/>
      <c r="G5" s="7"/>
      <c r="H5" s="7"/>
      <c r="I5" s="6"/>
    </row>
    <row r="6" spans="1:9">
      <c r="A6" s="6" t="s">
        <v>129</v>
      </c>
      <c r="B6" s="6" t="s">
        <v>130</v>
      </c>
      <c r="C6" s="7" t="s">
        <v>83</v>
      </c>
      <c r="D6" s="6">
        <v>36</v>
      </c>
      <c r="E6" s="7" t="s">
        <v>131</v>
      </c>
      <c r="F6" s="7" t="s">
        <v>79</v>
      </c>
      <c r="G6" s="7"/>
      <c r="H6" s="7" t="s">
        <v>132</v>
      </c>
      <c r="I6" s="6"/>
    </row>
    <row r="7" spans="1:9">
      <c r="A7" s="6" t="s">
        <v>133</v>
      </c>
      <c r="B7" s="6" t="s">
        <v>134</v>
      </c>
      <c r="C7" s="7" t="s">
        <v>101</v>
      </c>
      <c r="D7" s="6">
        <v>20</v>
      </c>
      <c r="E7" s="7" t="s">
        <v>102</v>
      </c>
      <c r="F7" s="7" t="s">
        <v>79</v>
      </c>
      <c r="G7" s="7"/>
      <c r="H7" s="7"/>
      <c r="I7" s="6"/>
    </row>
    <row r="8" spans="1:9">
      <c r="A8" s="6" t="s">
        <v>135</v>
      </c>
      <c r="B8" s="6" t="s">
        <v>136</v>
      </c>
      <c r="C8" s="7" t="s">
        <v>101</v>
      </c>
      <c r="D8" s="6">
        <v>100</v>
      </c>
      <c r="E8" s="7"/>
      <c r="F8" s="7" t="s">
        <v>79</v>
      </c>
      <c r="G8" s="7"/>
      <c r="H8" s="7"/>
      <c r="I8" s="6"/>
    </row>
    <row r="9" spans="1:9">
      <c r="A9" s="6" t="s">
        <v>137</v>
      </c>
      <c r="B9" s="6" t="s">
        <v>138</v>
      </c>
      <c r="C9" s="7" t="s">
        <v>101</v>
      </c>
      <c r="D9" s="6">
        <v>300</v>
      </c>
      <c r="E9" s="7"/>
      <c r="F9" s="7"/>
      <c r="G9" s="7"/>
      <c r="H9" s="7"/>
      <c r="I9" s="6"/>
    </row>
    <row r="10" spans="1:9">
      <c r="A10" s="6" t="s">
        <v>139</v>
      </c>
      <c r="B10" s="6" t="s">
        <v>140</v>
      </c>
      <c r="C10" s="7" t="s">
        <v>93</v>
      </c>
      <c r="D10" s="6"/>
      <c r="E10" s="7"/>
      <c r="F10" s="7"/>
      <c r="G10" s="7"/>
      <c r="H10" s="7"/>
      <c r="I10" s="6"/>
    </row>
    <row r="11" spans="1:9">
      <c r="A11" s="6" t="s">
        <v>141</v>
      </c>
      <c r="B11" s="6" t="s">
        <v>142</v>
      </c>
      <c r="C11" s="7" t="s">
        <v>101</v>
      </c>
      <c r="D11" s="6">
        <v>80</v>
      </c>
      <c r="E11" s="7"/>
      <c r="F11" s="7"/>
      <c r="G11" s="7"/>
      <c r="H11" s="7"/>
      <c r="I11" s="6"/>
    </row>
    <row r="12" spans="1:9">
      <c r="A12" s="6" t="s">
        <v>143</v>
      </c>
      <c r="B12" s="6" t="s">
        <v>144</v>
      </c>
      <c r="C12" s="7" t="s">
        <v>93</v>
      </c>
      <c r="D12" s="6">
        <v>1</v>
      </c>
      <c r="E12" s="7"/>
      <c r="F12" s="7"/>
      <c r="G12" s="7">
        <v>0</v>
      </c>
      <c r="H12" s="7"/>
      <c r="I12" s="6" t="s">
        <v>145</v>
      </c>
    </row>
    <row r="13" spans="1:9">
      <c r="A13" s="11" t="s">
        <v>84</v>
      </c>
      <c r="B13" s="12" t="s">
        <v>85</v>
      </c>
      <c r="C13" s="13" t="s">
        <v>86</v>
      </c>
      <c r="D13" s="11"/>
      <c r="E13" s="13"/>
      <c r="F13" s="11" t="s">
        <v>79</v>
      </c>
      <c r="G13" s="14"/>
      <c r="H13" s="14"/>
      <c r="I13" s="12" t="s">
        <v>87</v>
      </c>
    </row>
    <row r="14" spans="1:9">
      <c r="A14" s="13" t="s">
        <v>88</v>
      </c>
      <c r="B14" s="13" t="s">
        <v>89</v>
      </c>
      <c r="C14" s="13" t="s">
        <v>86</v>
      </c>
      <c r="D14" s="11"/>
      <c r="E14" s="13"/>
      <c r="F14" s="11" t="s">
        <v>79</v>
      </c>
      <c r="G14" s="14"/>
      <c r="H14" s="14"/>
      <c r="I14" s="13" t="s">
        <v>90</v>
      </c>
    </row>
    <row r="15" ht="24" spans="1:9">
      <c r="A15" s="11" t="s">
        <v>91</v>
      </c>
      <c r="B15" s="13" t="s">
        <v>92</v>
      </c>
      <c r="C15" s="13" t="s">
        <v>93</v>
      </c>
      <c r="D15" s="11">
        <v>8</v>
      </c>
      <c r="E15" s="13"/>
      <c r="F15" s="11" t="s">
        <v>79</v>
      </c>
      <c r="G15" s="14"/>
      <c r="H15" s="14"/>
      <c r="I15" s="13" t="s">
        <v>94</v>
      </c>
    </row>
    <row r="16" ht="24" spans="1:9">
      <c r="A16" s="11" t="s">
        <v>95</v>
      </c>
      <c r="B16" s="13" t="s">
        <v>96</v>
      </c>
      <c r="C16" s="13" t="s">
        <v>93</v>
      </c>
      <c r="D16" s="11">
        <v>8</v>
      </c>
      <c r="E16" s="13"/>
      <c r="F16" s="11" t="s">
        <v>79</v>
      </c>
      <c r="G16" s="14"/>
      <c r="H16" s="14"/>
      <c r="I16" s="13" t="s">
        <v>97</v>
      </c>
    </row>
    <row r="17" spans="1:9">
      <c r="A17" s="6" t="s">
        <v>5</v>
      </c>
      <c r="B17" s="6" t="s">
        <v>126</v>
      </c>
      <c r="C17" s="7" t="s">
        <v>101</v>
      </c>
      <c r="D17" s="6">
        <v>400</v>
      </c>
      <c r="E17" s="7"/>
      <c r="F17" s="7"/>
      <c r="G17" s="7"/>
      <c r="H17" s="7"/>
      <c r="I17" s="6"/>
    </row>
    <row r="18" ht="88" customHeight="1" spans="1:9">
      <c r="A18" s="8" t="s">
        <v>98</v>
      </c>
      <c r="B18" s="9"/>
      <c r="C18" s="9"/>
      <c r="D18" s="9"/>
      <c r="E18" s="9"/>
      <c r="F18" s="9"/>
      <c r="G18" s="9"/>
      <c r="H18" s="9"/>
      <c r="I18" s="9"/>
    </row>
  </sheetData>
  <mergeCells count="3">
    <mergeCell ref="B2:C2"/>
    <mergeCell ref="F2:I2"/>
    <mergeCell ref="B18:I18"/>
  </mergeCells>
  <dataValidations count="3">
    <dataValidation type="list" allowBlank="1" showInputMessage="1" showErrorMessage="1" sqref="C13 C14 C15 C16 C17 C4:C12">
      <formula1>"uuid,string,integer,long,double,float,boolean,date,timestamp,binary,clob,String[],Object[],byte[]"</formula1>
    </dataValidation>
    <dataValidation type="list" allowBlank="1" showInputMessage="1" showErrorMessage="1" sqref="F13 F14 F15 F16 F17 F4:F12">
      <formula1>"Y,N"</formula1>
    </dataValidation>
    <dataValidation type="list" allowBlank="1" showInputMessage="1" showErrorMessage="1" sqref="E17 E4:E12 E13:E16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I24"/>
  <sheetViews>
    <sheetView topLeftCell="B1" workbookViewId="0">
      <selection activeCell="I6" sqref="I6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20</v>
      </c>
      <c r="C2" s="4"/>
      <c r="D2" s="4"/>
      <c r="E2" s="3" t="s">
        <v>69</v>
      </c>
      <c r="F2" s="3" t="s">
        <v>21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81</v>
      </c>
      <c r="B4" s="6" t="s">
        <v>82</v>
      </c>
      <c r="C4" s="7" t="s">
        <v>83</v>
      </c>
      <c r="D4" s="6">
        <v>36</v>
      </c>
      <c r="E4" s="7" t="s">
        <v>78</v>
      </c>
      <c r="F4" s="7" t="s">
        <v>79</v>
      </c>
      <c r="G4" s="7"/>
      <c r="H4" s="10"/>
      <c r="I4" s="6" t="s">
        <v>80</v>
      </c>
    </row>
    <row r="5" spans="1:9">
      <c r="A5" s="6" t="s">
        <v>127</v>
      </c>
      <c r="B5" s="6" t="s">
        <v>128</v>
      </c>
      <c r="C5" s="7" t="s">
        <v>83</v>
      </c>
      <c r="D5" s="6">
        <v>36</v>
      </c>
      <c r="E5" s="7"/>
      <c r="F5" s="7"/>
      <c r="G5" s="7"/>
      <c r="H5" s="7"/>
      <c r="I5" s="6"/>
    </row>
    <row r="6" spans="1:9">
      <c r="A6" s="6"/>
      <c r="B6" s="6" t="s">
        <v>146</v>
      </c>
      <c r="C6" s="7" t="s">
        <v>101</v>
      </c>
      <c r="D6" s="6">
        <v>40</v>
      </c>
      <c r="E6" s="7"/>
      <c r="F6" s="7"/>
      <c r="G6" s="7"/>
      <c r="H6" s="7"/>
      <c r="I6" s="6" t="s">
        <v>147</v>
      </c>
    </row>
    <row r="7" spans="1:9">
      <c r="A7" s="6" t="s">
        <v>148</v>
      </c>
      <c r="B7" s="6" t="s">
        <v>149</v>
      </c>
      <c r="C7" s="7" t="s">
        <v>101</v>
      </c>
      <c r="D7" s="6">
        <v>30</v>
      </c>
      <c r="E7" s="7" t="s">
        <v>102</v>
      </c>
      <c r="F7" s="7" t="s">
        <v>79</v>
      </c>
      <c r="G7" s="7"/>
      <c r="H7" s="7"/>
      <c r="I7" s="6"/>
    </row>
    <row r="8" spans="1:9">
      <c r="A8" s="6" t="s">
        <v>150</v>
      </c>
      <c r="B8" s="6" t="s">
        <v>151</v>
      </c>
      <c r="C8" s="7" t="s">
        <v>101</v>
      </c>
      <c r="D8" s="6">
        <v>100</v>
      </c>
      <c r="E8" s="7"/>
      <c r="F8" s="7" t="s">
        <v>79</v>
      </c>
      <c r="G8" s="7"/>
      <c r="H8" s="7"/>
      <c r="I8" s="6"/>
    </row>
    <row r="9" spans="1:9">
      <c r="A9" s="6"/>
      <c r="B9" s="6" t="s">
        <v>152</v>
      </c>
      <c r="C9" s="7" t="s">
        <v>101</v>
      </c>
      <c r="D9" s="6">
        <v>20</v>
      </c>
      <c r="E9" s="7"/>
      <c r="F9" s="7"/>
      <c r="G9" s="7"/>
      <c r="H9" s="7"/>
      <c r="I9" s="6" t="s">
        <v>153</v>
      </c>
    </row>
    <row r="10" spans="1:9">
      <c r="A10" s="6" t="s">
        <v>154</v>
      </c>
      <c r="B10" s="6" t="s">
        <v>155</v>
      </c>
      <c r="C10" s="7" t="s">
        <v>93</v>
      </c>
      <c r="D10" s="6">
        <v>1</v>
      </c>
      <c r="E10" s="7"/>
      <c r="F10" s="7"/>
      <c r="G10" s="7">
        <v>1</v>
      </c>
      <c r="H10" s="7"/>
      <c r="I10" s="6" t="s">
        <v>156</v>
      </c>
    </row>
    <row r="11" ht="36" spans="1:9">
      <c r="A11" s="6" t="s">
        <v>157</v>
      </c>
      <c r="B11" s="6" t="s">
        <v>158</v>
      </c>
      <c r="C11" s="7" t="s">
        <v>93</v>
      </c>
      <c r="D11" s="6">
        <v>2</v>
      </c>
      <c r="E11" s="7"/>
      <c r="F11" s="7"/>
      <c r="G11" s="7"/>
      <c r="H11" s="7"/>
      <c r="I11" s="6" t="s">
        <v>159</v>
      </c>
    </row>
    <row r="12" spans="1:9">
      <c r="A12" s="6" t="s">
        <v>160</v>
      </c>
      <c r="B12" s="6" t="s">
        <v>161</v>
      </c>
      <c r="C12" s="7" t="s">
        <v>93</v>
      </c>
      <c r="D12" s="6"/>
      <c r="E12" s="7"/>
      <c r="F12" s="7"/>
      <c r="G12" s="7"/>
      <c r="H12" s="7"/>
      <c r="I12" s="6"/>
    </row>
    <row r="13" spans="1:9">
      <c r="A13" s="6" t="s">
        <v>162</v>
      </c>
      <c r="B13" s="6" t="s">
        <v>163</v>
      </c>
      <c r="C13" s="7" t="s">
        <v>93</v>
      </c>
      <c r="D13" s="6"/>
      <c r="E13" s="7"/>
      <c r="F13" s="7"/>
      <c r="G13" s="7"/>
      <c r="H13" s="7"/>
      <c r="I13" s="6"/>
    </row>
    <row r="14" spans="1:9">
      <c r="A14" s="6" t="s">
        <v>164</v>
      </c>
      <c r="B14" s="6" t="s">
        <v>165</v>
      </c>
      <c r="C14" s="7" t="s">
        <v>101</v>
      </c>
      <c r="D14" s="6">
        <v>2</v>
      </c>
      <c r="E14" s="7"/>
      <c r="F14" s="7"/>
      <c r="G14" s="7"/>
      <c r="H14" s="7"/>
      <c r="I14" s="6" t="s">
        <v>166</v>
      </c>
    </row>
    <row r="15" spans="1:9">
      <c r="A15" s="21" t="s">
        <v>167</v>
      </c>
      <c r="B15" s="21" t="s">
        <v>168</v>
      </c>
      <c r="C15" s="21" t="s">
        <v>101</v>
      </c>
      <c r="D15" s="21">
        <v>20</v>
      </c>
      <c r="E15" s="21"/>
      <c r="F15" s="21"/>
      <c r="G15" s="21"/>
      <c r="H15" s="21"/>
      <c r="I15" s="21"/>
    </row>
    <row r="16" spans="1:9">
      <c r="A16" s="21" t="s">
        <v>169</v>
      </c>
      <c r="B16" s="21" t="s">
        <v>170</v>
      </c>
      <c r="C16" s="7" t="s">
        <v>83</v>
      </c>
      <c r="D16" s="22">
        <v>36</v>
      </c>
      <c r="E16" s="7"/>
      <c r="F16" s="7"/>
      <c r="G16" s="7"/>
      <c r="H16" s="7" t="s">
        <v>171</v>
      </c>
      <c r="I16" s="23"/>
    </row>
    <row r="17" spans="1:9">
      <c r="A17" s="21" t="s">
        <v>172</v>
      </c>
      <c r="B17" s="21" t="s">
        <v>173</v>
      </c>
      <c r="C17" s="7" t="s">
        <v>101</v>
      </c>
      <c r="D17" s="22">
        <v>30</v>
      </c>
      <c r="E17" s="7"/>
      <c r="F17" s="7"/>
      <c r="G17" s="7"/>
      <c r="H17" s="7"/>
      <c r="I17" s="23" t="s">
        <v>174</v>
      </c>
    </row>
    <row r="18" spans="1:9">
      <c r="A18" s="24" t="s">
        <v>175</v>
      </c>
      <c r="B18" s="24" t="s">
        <v>176</v>
      </c>
      <c r="C18" s="20" t="s">
        <v>101</v>
      </c>
      <c r="D18" s="19">
        <v>100</v>
      </c>
      <c r="E18" s="20"/>
      <c r="F18" s="20"/>
      <c r="G18" s="20"/>
      <c r="H18" s="20"/>
      <c r="I18" s="25" t="s">
        <v>177</v>
      </c>
    </row>
    <row r="19" spans="1:9">
      <c r="A19" s="24" t="s">
        <v>178</v>
      </c>
      <c r="B19" s="24" t="s">
        <v>179</v>
      </c>
      <c r="C19" s="20" t="s">
        <v>101</v>
      </c>
      <c r="D19" s="19">
        <v>1</v>
      </c>
      <c r="E19" s="20"/>
      <c r="F19" s="20"/>
      <c r="G19" s="20"/>
      <c r="H19" s="20"/>
      <c r="I19" s="25" t="s">
        <v>180</v>
      </c>
    </row>
    <row r="20" spans="1:9">
      <c r="A20" s="11" t="s">
        <v>84</v>
      </c>
      <c r="B20" s="12" t="s">
        <v>85</v>
      </c>
      <c r="C20" s="13" t="s">
        <v>86</v>
      </c>
      <c r="D20" s="11"/>
      <c r="E20" s="13"/>
      <c r="F20" s="11" t="s">
        <v>79</v>
      </c>
      <c r="G20" s="14"/>
      <c r="H20" s="14"/>
      <c r="I20" s="12" t="s">
        <v>87</v>
      </c>
    </row>
    <row r="21" spans="1:9">
      <c r="A21" s="13" t="s">
        <v>88</v>
      </c>
      <c r="B21" s="13" t="s">
        <v>89</v>
      </c>
      <c r="C21" s="13" t="s">
        <v>86</v>
      </c>
      <c r="D21" s="11"/>
      <c r="E21" s="13"/>
      <c r="F21" s="11" t="s">
        <v>79</v>
      </c>
      <c r="G21" s="14"/>
      <c r="H21" s="14"/>
      <c r="I21" s="13" t="s">
        <v>90</v>
      </c>
    </row>
    <row r="22" ht="24" spans="1:9">
      <c r="A22" s="11" t="s">
        <v>91</v>
      </c>
      <c r="B22" s="13" t="s">
        <v>92</v>
      </c>
      <c r="C22" s="13" t="s">
        <v>93</v>
      </c>
      <c r="D22" s="11">
        <v>8</v>
      </c>
      <c r="E22" s="13"/>
      <c r="F22" s="11" t="s">
        <v>79</v>
      </c>
      <c r="G22" s="14"/>
      <c r="H22" s="14"/>
      <c r="I22" s="13" t="s">
        <v>94</v>
      </c>
    </row>
    <row r="23" ht="24" spans="1:9">
      <c r="A23" s="11" t="s">
        <v>95</v>
      </c>
      <c r="B23" s="13" t="s">
        <v>96</v>
      </c>
      <c r="C23" s="13" t="s">
        <v>93</v>
      </c>
      <c r="D23" s="11">
        <v>8</v>
      </c>
      <c r="E23" s="13"/>
      <c r="F23" s="11" t="s">
        <v>79</v>
      </c>
      <c r="G23" s="14"/>
      <c r="H23" s="14"/>
      <c r="I23" s="13" t="s">
        <v>97</v>
      </c>
    </row>
    <row r="24" ht="88" customHeight="1" spans="1:9">
      <c r="A24" s="8" t="s">
        <v>98</v>
      </c>
      <c r="B24" s="9"/>
      <c r="C24" s="9"/>
      <c r="D24" s="9"/>
      <c r="E24" s="9"/>
      <c r="F24" s="9"/>
      <c r="G24" s="9"/>
      <c r="H24" s="9"/>
      <c r="I24" s="9"/>
    </row>
  </sheetData>
  <mergeCells count="3">
    <mergeCell ref="B2:C2"/>
    <mergeCell ref="F2:I2"/>
    <mergeCell ref="B24:I24"/>
  </mergeCells>
  <dataValidations count="3">
    <dataValidation type="list" allowBlank="1" showInputMessage="1" showErrorMessage="1" sqref="C6 C9 C10 C14 C15 C16 C17 C18 C19 C20 C21 C22 C23 C4:C5 C7:C8 C11:C13">
      <formula1>"uuid,string,integer,long,double,float,boolean,date,timestamp,binary,clob,String[],Object[],byte[]"</formula1>
    </dataValidation>
    <dataValidation type="list" allowBlank="1" showInputMessage="1" showErrorMessage="1" sqref="E6 E9 E10 E14 E15 E16 E17 E18 E19 E4:E5 E7:E8 E11:E13 E20:E23">
      <formula1>"PK,UK,FK,PK|FK,FK|UK,UUK1,UUK2,UUK3,UUK4,UUK1|UUK2,UUK1|UUK2|UUK3,UUK1|UUK2|UUK3|UUK4,FK|UUK1,FK|UUK2"</formula1>
    </dataValidation>
    <dataValidation type="list" allowBlank="1" showInputMessage="1" showErrorMessage="1" sqref="F6 F9 F10 F14 F15 F16 F17 F18 F19 F20 F21 F22 F23 F4:F5 F7:F8 F11:F13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I14"/>
  <sheetViews>
    <sheetView workbookViewId="0">
      <selection activeCell="A7" sqref="$A7:$XFD7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22</v>
      </c>
      <c r="C2" s="4"/>
      <c r="D2" s="4"/>
      <c r="E2" s="3" t="s">
        <v>69</v>
      </c>
      <c r="F2" s="3" t="s">
        <v>23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81</v>
      </c>
      <c r="B4" s="6" t="s">
        <v>82</v>
      </c>
      <c r="C4" s="7" t="s">
        <v>83</v>
      </c>
      <c r="D4" s="6">
        <v>36</v>
      </c>
      <c r="E4" s="7" t="s">
        <v>78</v>
      </c>
      <c r="F4" s="7" t="s">
        <v>79</v>
      </c>
      <c r="G4" s="7"/>
      <c r="H4" s="10"/>
      <c r="I4" s="6" t="s">
        <v>80</v>
      </c>
    </row>
    <row r="5" spans="1:9">
      <c r="A5" s="6" t="s">
        <v>181</v>
      </c>
      <c r="B5" s="6" t="s">
        <v>182</v>
      </c>
      <c r="C5" s="7" t="s">
        <v>101</v>
      </c>
      <c r="D5" s="6">
        <v>20</v>
      </c>
      <c r="E5" s="7" t="s">
        <v>102</v>
      </c>
      <c r="F5" s="7" t="s">
        <v>79</v>
      </c>
      <c r="G5" s="7"/>
      <c r="H5" s="7"/>
      <c r="I5" s="6"/>
    </row>
    <row r="6" spans="1:9">
      <c r="A6" s="6" t="s">
        <v>183</v>
      </c>
      <c r="B6" s="6" t="s">
        <v>184</v>
      </c>
      <c r="C6" s="7" t="s">
        <v>101</v>
      </c>
      <c r="D6" s="6">
        <v>20</v>
      </c>
      <c r="E6" s="7"/>
      <c r="F6" s="7" t="s">
        <v>79</v>
      </c>
      <c r="G6" s="7"/>
      <c r="H6" s="7"/>
      <c r="I6" s="6"/>
    </row>
    <row r="7" spans="1:9">
      <c r="A7" s="6" t="s">
        <v>185</v>
      </c>
      <c r="B7" s="6" t="s">
        <v>124</v>
      </c>
      <c r="C7" s="7" t="s">
        <v>101</v>
      </c>
      <c r="D7" s="6">
        <v>4</v>
      </c>
      <c r="E7" s="7"/>
      <c r="F7" s="7"/>
      <c r="G7" s="7"/>
      <c r="H7" s="7"/>
      <c r="I7" s="6" t="s">
        <v>186</v>
      </c>
    </row>
    <row r="8" spans="1:9">
      <c r="A8" s="6" t="s">
        <v>154</v>
      </c>
      <c r="B8" s="6" t="s">
        <v>155</v>
      </c>
      <c r="C8" s="7" t="s">
        <v>93</v>
      </c>
      <c r="D8" s="6">
        <v>1</v>
      </c>
      <c r="E8" s="7"/>
      <c r="F8" s="7"/>
      <c r="G8" s="7">
        <v>1</v>
      </c>
      <c r="H8" s="7"/>
      <c r="I8" s="6" t="s">
        <v>187</v>
      </c>
    </row>
    <row r="9" spans="1:9">
      <c r="A9" s="6" t="s">
        <v>188</v>
      </c>
      <c r="B9" s="6" t="s">
        <v>189</v>
      </c>
      <c r="C9" s="7" t="s">
        <v>83</v>
      </c>
      <c r="D9" s="6">
        <v>36</v>
      </c>
      <c r="E9" s="7"/>
      <c r="F9" s="7"/>
      <c r="G9" s="7"/>
      <c r="H9" s="7" t="s">
        <v>190</v>
      </c>
      <c r="I9" s="6"/>
    </row>
    <row r="10" spans="1:9">
      <c r="A10" s="11" t="s">
        <v>84</v>
      </c>
      <c r="B10" s="12" t="s">
        <v>85</v>
      </c>
      <c r="C10" s="13" t="s">
        <v>86</v>
      </c>
      <c r="D10" s="11"/>
      <c r="E10" s="13"/>
      <c r="F10" s="11" t="s">
        <v>79</v>
      </c>
      <c r="G10" s="14"/>
      <c r="H10" s="14"/>
      <c r="I10" s="12" t="s">
        <v>87</v>
      </c>
    </row>
    <row r="11" spans="1:9">
      <c r="A11" s="13" t="s">
        <v>88</v>
      </c>
      <c r="B11" s="13" t="s">
        <v>89</v>
      </c>
      <c r="C11" s="13" t="s">
        <v>86</v>
      </c>
      <c r="D11" s="11"/>
      <c r="E11" s="13"/>
      <c r="F11" s="11" t="s">
        <v>79</v>
      </c>
      <c r="G11" s="14"/>
      <c r="H11" s="14"/>
      <c r="I11" s="13" t="s">
        <v>90</v>
      </c>
    </row>
    <row r="12" ht="24" spans="1:9">
      <c r="A12" s="11" t="s">
        <v>91</v>
      </c>
      <c r="B12" s="13" t="s">
        <v>92</v>
      </c>
      <c r="C12" s="13" t="s">
        <v>93</v>
      </c>
      <c r="D12" s="11">
        <v>8</v>
      </c>
      <c r="E12" s="13"/>
      <c r="F12" s="11" t="s">
        <v>79</v>
      </c>
      <c r="G12" s="14"/>
      <c r="H12" s="14"/>
      <c r="I12" s="13" t="s">
        <v>94</v>
      </c>
    </row>
    <row r="13" ht="24" spans="1:9">
      <c r="A13" s="11" t="s">
        <v>95</v>
      </c>
      <c r="B13" s="13" t="s">
        <v>96</v>
      </c>
      <c r="C13" s="13" t="s">
        <v>93</v>
      </c>
      <c r="D13" s="11">
        <v>8</v>
      </c>
      <c r="E13" s="13"/>
      <c r="F13" s="11" t="s">
        <v>79</v>
      </c>
      <c r="G13" s="14"/>
      <c r="H13" s="14"/>
      <c r="I13" s="13" t="s">
        <v>97</v>
      </c>
    </row>
    <row r="14" ht="88" customHeight="1" spans="1:9">
      <c r="A14" s="8" t="s">
        <v>98</v>
      </c>
      <c r="B14" s="9"/>
      <c r="C14" s="9"/>
      <c r="D14" s="9"/>
      <c r="E14" s="9"/>
      <c r="F14" s="9"/>
      <c r="G14" s="9"/>
      <c r="H14" s="9"/>
      <c r="I14" s="9"/>
    </row>
  </sheetData>
  <mergeCells count="3">
    <mergeCell ref="B2:C2"/>
    <mergeCell ref="F2:I2"/>
    <mergeCell ref="B14:I14"/>
  </mergeCells>
  <dataValidations count="3">
    <dataValidation type="list" allowBlank="1" showInputMessage="1" showErrorMessage="1" sqref="C9 C10 C11 C12 C13 C4:C8">
      <formula1>"uuid,string,integer,long,double,float,boolean,date,timestamp,binary,clob,String[],Object[],byte[]"</formula1>
    </dataValidation>
    <dataValidation type="list" allowBlank="1" showInputMessage="1" showErrorMessage="1" sqref="F10 F11 F12 F13 F4:F9">
      <formula1>"Y,N"</formula1>
    </dataValidation>
    <dataValidation type="list" allowBlank="1" showInputMessage="1" showErrorMessage="1" sqref="E4:E9 E10:E13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I6"/>
  <sheetViews>
    <sheetView workbookViewId="0">
      <selection activeCell="H5" sqref="H5"/>
    </sheetView>
  </sheetViews>
  <sheetFormatPr defaultColWidth="9" defaultRowHeight="14.25" outlineLevelRow="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24</v>
      </c>
      <c r="C2" s="4"/>
      <c r="D2" s="4"/>
      <c r="E2" s="3" t="s">
        <v>69</v>
      </c>
      <c r="F2" s="3" t="s">
        <v>25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191</v>
      </c>
      <c r="B4" s="6" t="s">
        <v>192</v>
      </c>
      <c r="C4" s="7" t="s">
        <v>83</v>
      </c>
      <c r="D4" s="6">
        <v>36</v>
      </c>
      <c r="E4" s="7" t="s">
        <v>131</v>
      </c>
      <c r="F4" s="7"/>
      <c r="G4" s="7"/>
      <c r="H4" s="7" t="s">
        <v>193</v>
      </c>
      <c r="I4" s="6"/>
    </row>
    <row r="5" spans="1:9">
      <c r="A5" s="6" t="s">
        <v>194</v>
      </c>
      <c r="B5" s="6" t="s">
        <v>195</v>
      </c>
      <c r="C5" s="7" t="s">
        <v>83</v>
      </c>
      <c r="D5" s="6">
        <v>36</v>
      </c>
      <c r="E5" s="7" t="s">
        <v>131</v>
      </c>
      <c r="F5" s="7"/>
      <c r="G5" s="7"/>
      <c r="H5" s="7" t="s">
        <v>196</v>
      </c>
      <c r="I5" s="6"/>
    </row>
    <row r="6" ht="88" customHeight="1" spans="1:9">
      <c r="A6" s="8" t="s">
        <v>98</v>
      </c>
      <c r="B6" s="9"/>
      <c r="C6" s="9"/>
      <c r="D6" s="9"/>
      <c r="E6" s="9"/>
      <c r="F6" s="9"/>
      <c r="G6" s="9"/>
      <c r="H6" s="9"/>
      <c r="I6" s="9"/>
    </row>
  </sheetData>
  <mergeCells count="3">
    <mergeCell ref="B2:C2"/>
    <mergeCell ref="F2:I2"/>
    <mergeCell ref="B6:I6"/>
  </mergeCells>
  <dataValidations count="3"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E4:E5">
      <formula1>"PK,UK,FK,PK|FK,FK|UK,UUK1,UUK2,UUK3,UUK4,UUK1|UUK2,UUK1|UUK2|UUK3,UUK1|UUK2|UUK3|UUK4,FK|UUK1,FK|UUK2"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I6"/>
  <sheetViews>
    <sheetView workbookViewId="0">
      <selection activeCell="A1" sqref="A1"/>
    </sheetView>
  </sheetViews>
  <sheetFormatPr defaultColWidth="9" defaultRowHeight="14.25" outlineLevelRow="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27</v>
      </c>
      <c r="C2" s="4"/>
      <c r="D2" s="4"/>
      <c r="E2" s="3" t="s">
        <v>69</v>
      </c>
      <c r="F2" s="3" t="s">
        <v>28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197</v>
      </c>
      <c r="B4" s="6" t="s">
        <v>189</v>
      </c>
      <c r="C4" s="7" t="s">
        <v>83</v>
      </c>
      <c r="D4" s="6"/>
      <c r="E4" s="7" t="s">
        <v>131</v>
      </c>
      <c r="F4" s="7"/>
      <c r="G4" s="7"/>
      <c r="H4" s="7" t="s">
        <v>190</v>
      </c>
      <c r="I4" s="6"/>
    </row>
    <row r="5" spans="1:9">
      <c r="A5" s="6" t="s">
        <v>198</v>
      </c>
      <c r="B5" s="6" t="s">
        <v>192</v>
      </c>
      <c r="C5" s="7" t="s">
        <v>83</v>
      </c>
      <c r="D5" s="6"/>
      <c r="E5" s="7" t="s">
        <v>131</v>
      </c>
      <c r="F5" s="7"/>
      <c r="G5" s="7"/>
      <c r="H5" s="7" t="s">
        <v>193</v>
      </c>
      <c r="I5" s="6"/>
    </row>
    <row r="6" ht="88" customHeight="1" spans="1:9">
      <c r="A6" s="8" t="s">
        <v>98</v>
      </c>
      <c r="B6" s="9"/>
      <c r="C6" s="9"/>
      <c r="D6" s="9"/>
      <c r="E6" s="9"/>
      <c r="F6" s="9"/>
      <c r="G6" s="9"/>
      <c r="H6" s="9"/>
      <c r="I6" s="9"/>
    </row>
  </sheetData>
  <mergeCells count="3">
    <mergeCell ref="B2:C2"/>
    <mergeCell ref="F2:I2"/>
    <mergeCell ref="B6:I6"/>
  </mergeCells>
  <dataValidations count="3"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E4:E5">
      <formula1>"PK,UK,FK,PK|FK,FK|UK,UUK1,UUK2,UUK3,UUK4,UUK1|UUK2,UUK1|UUK2|UUK3,UUK1|UUK2|UUK3|UUK4,FK|UUK1,FK|UUK2"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I19"/>
  <sheetViews>
    <sheetView workbookViewId="0">
      <selection activeCell="A1" sqref="A1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29</v>
      </c>
      <c r="C2" s="4"/>
      <c r="D2" s="4"/>
      <c r="E2" s="3" t="s">
        <v>69</v>
      </c>
      <c r="F2" s="3" t="s">
        <v>30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81</v>
      </c>
      <c r="B4" s="6" t="s">
        <v>82</v>
      </c>
      <c r="C4" s="7" t="s">
        <v>83</v>
      </c>
      <c r="D4" s="6">
        <v>36</v>
      </c>
      <c r="E4" s="7" t="s">
        <v>78</v>
      </c>
      <c r="F4" s="7" t="s">
        <v>79</v>
      </c>
      <c r="G4" s="7"/>
      <c r="H4" s="10"/>
      <c r="I4" s="6" t="s">
        <v>80</v>
      </c>
    </row>
    <row r="5" spans="1:9">
      <c r="A5" s="6" t="s">
        <v>188</v>
      </c>
      <c r="B5" s="6" t="s">
        <v>189</v>
      </c>
      <c r="C5" s="7" t="s">
        <v>83</v>
      </c>
      <c r="D5" s="6">
        <v>36</v>
      </c>
      <c r="E5" s="7" t="s">
        <v>131</v>
      </c>
      <c r="F5" s="7" t="s">
        <v>79</v>
      </c>
      <c r="G5" s="7"/>
      <c r="H5" s="7" t="s">
        <v>190</v>
      </c>
      <c r="I5" s="6"/>
    </row>
    <row r="6" spans="1:9">
      <c r="A6" s="6" t="s">
        <v>199</v>
      </c>
      <c r="B6" s="6" t="s">
        <v>200</v>
      </c>
      <c r="C6" s="7" t="s">
        <v>101</v>
      </c>
      <c r="D6" s="6">
        <v>20</v>
      </c>
      <c r="E6" s="7" t="s">
        <v>102</v>
      </c>
      <c r="F6" s="7" t="s">
        <v>79</v>
      </c>
      <c r="G6" s="7"/>
      <c r="H6" s="7"/>
      <c r="I6" s="6"/>
    </row>
    <row r="7" ht="24" spans="1:9">
      <c r="A7" s="19" t="s">
        <v>201</v>
      </c>
      <c r="B7" s="19" t="s">
        <v>202</v>
      </c>
      <c r="C7" s="20" t="s">
        <v>101</v>
      </c>
      <c r="D7" s="19">
        <v>30</v>
      </c>
      <c r="E7" s="7"/>
      <c r="F7" s="7"/>
      <c r="G7" s="7"/>
      <c r="H7" s="7"/>
      <c r="I7" s="6"/>
    </row>
    <row r="8" spans="1:9">
      <c r="A8" s="6" t="s">
        <v>203</v>
      </c>
      <c r="B8" s="6" t="s">
        <v>204</v>
      </c>
      <c r="C8" s="7" t="s">
        <v>101</v>
      </c>
      <c r="D8" s="6">
        <v>20</v>
      </c>
      <c r="E8" s="7"/>
      <c r="F8" s="7" t="s">
        <v>79</v>
      </c>
      <c r="G8" s="7"/>
      <c r="H8" s="7"/>
      <c r="I8" s="6"/>
    </row>
    <row r="9" spans="1:9">
      <c r="A9" s="6" t="s">
        <v>205</v>
      </c>
      <c r="B9" s="6" t="s">
        <v>206</v>
      </c>
      <c r="C9" s="7" t="s">
        <v>101</v>
      </c>
      <c r="D9" s="6">
        <v>1</v>
      </c>
      <c r="E9" s="7"/>
      <c r="F9" s="7"/>
      <c r="G9" s="7"/>
      <c r="H9" s="7"/>
      <c r="I9" s="6"/>
    </row>
    <row r="10" spans="1:9">
      <c r="A10" s="6" t="s">
        <v>207</v>
      </c>
      <c r="B10" s="6" t="s">
        <v>208</v>
      </c>
      <c r="C10" s="7" t="s">
        <v>101</v>
      </c>
      <c r="D10" s="6">
        <v>30</v>
      </c>
      <c r="E10" s="7"/>
      <c r="F10" s="7"/>
      <c r="G10" s="7"/>
      <c r="H10" s="7"/>
      <c r="I10" s="6"/>
    </row>
    <row r="11" spans="1:9">
      <c r="A11" s="6" t="s">
        <v>209</v>
      </c>
      <c r="B11" s="6" t="s">
        <v>210</v>
      </c>
      <c r="C11" s="7" t="s">
        <v>101</v>
      </c>
      <c r="D11" s="6">
        <v>20</v>
      </c>
      <c r="E11" s="7"/>
      <c r="F11" s="7"/>
      <c r="G11" s="7"/>
      <c r="H11" s="7"/>
      <c r="I11" s="6"/>
    </row>
    <row r="12" spans="1:9">
      <c r="A12" s="6" t="s">
        <v>211</v>
      </c>
      <c r="B12" s="6" t="s">
        <v>212</v>
      </c>
      <c r="C12" s="7" t="s">
        <v>101</v>
      </c>
      <c r="D12" s="6">
        <v>10</v>
      </c>
      <c r="E12" s="7"/>
      <c r="F12" s="7"/>
      <c r="G12" s="7"/>
      <c r="H12" s="7"/>
      <c r="I12" s="6" t="s">
        <v>213</v>
      </c>
    </row>
    <row r="13" spans="1:9">
      <c r="A13" s="6" t="s">
        <v>214</v>
      </c>
      <c r="B13" s="6" t="s">
        <v>215</v>
      </c>
      <c r="C13" s="7" t="s">
        <v>101</v>
      </c>
      <c r="D13" s="6">
        <v>40</v>
      </c>
      <c r="E13" s="7"/>
      <c r="F13" s="7"/>
      <c r="G13" s="7"/>
      <c r="H13" s="7"/>
      <c r="I13" s="6"/>
    </row>
    <row r="14" spans="1:9">
      <c r="A14" s="21" t="s">
        <v>216</v>
      </c>
      <c r="B14" s="21" t="s">
        <v>217</v>
      </c>
      <c r="C14" s="7" t="s">
        <v>101</v>
      </c>
      <c r="D14" s="22">
        <v>40</v>
      </c>
      <c r="E14" s="7"/>
      <c r="F14" s="7"/>
      <c r="G14" s="7"/>
      <c r="H14" s="7"/>
      <c r="I14" s="23"/>
    </row>
    <row r="15" spans="1:9">
      <c r="A15" s="11" t="s">
        <v>84</v>
      </c>
      <c r="B15" s="12" t="s">
        <v>218</v>
      </c>
      <c r="C15" s="13" t="s">
        <v>86</v>
      </c>
      <c r="D15" s="11"/>
      <c r="E15" s="13"/>
      <c r="F15" s="11" t="s">
        <v>79</v>
      </c>
      <c r="G15" s="14"/>
      <c r="H15" s="14"/>
      <c r="I15" s="12" t="s">
        <v>87</v>
      </c>
    </row>
    <row r="16" spans="1:9">
      <c r="A16" s="13" t="s">
        <v>88</v>
      </c>
      <c r="B16" s="13" t="s">
        <v>219</v>
      </c>
      <c r="C16" s="13" t="s">
        <v>86</v>
      </c>
      <c r="D16" s="11"/>
      <c r="E16" s="13"/>
      <c r="F16" s="11" t="s">
        <v>79</v>
      </c>
      <c r="G16" s="14"/>
      <c r="H16" s="14"/>
      <c r="I16" s="13" t="s">
        <v>90</v>
      </c>
    </row>
    <row r="17" ht="24" spans="1:9">
      <c r="A17" s="11" t="s">
        <v>91</v>
      </c>
      <c r="B17" s="13" t="s">
        <v>92</v>
      </c>
      <c r="C17" s="13" t="s">
        <v>93</v>
      </c>
      <c r="D17" s="11">
        <v>8</v>
      </c>
      <c r="E17" s="13"/>
      <c r="F17" s="11" t="s">
        <v>79</v>
      </c>
      <c r="G17" s="14"/>
      <c r="H17" s="14"/>
      <c r="I17" s="13" t="s">
        <v>94</v>
      </c>
    </row>
    <row r="18" ht="24" spans="1:9">
      <c r="A18" s="11" t="s">
        <v>95</v>
      </c>
      <c r="B18" s="13" t="s">
        <v>96</v>
      </c>
      <c r="C18" s="13" t="s">
        <v>93</v>
      </c>
      <c r="D18" s="11">
        <v>8</v>
      </c>
      <c r="E18" s="13"/>
      <c r="F18" s="11" t="s">
        <v>79</v>
      </c>
      <c r="G18" s="14"/>
      <c r="H18" s="14"/>
      <c r="I18" s="13" t="s">
        <v>97</v>
      </c>
    </row>
    <row r="19" ht="88" customHeight="1" spans="1:9">
      <c r="A19" s="8" t="s">
        <v>98</v>
      </c>
      <c r="B19" s="9"/>
      <c r="C19" s="9"/>
      <c r="D19" s="9"/>
      <c r="E19" s="9"/>
      <c r="F19" s="9"/>
      <c r="G19" s="9"/>
      <c r="H19" s="9"/>
      <c r="I19" s="9"/>
    </row>
  </sheetData>
  <mergeCells count="3">
    <mergeCell ref="B2:C2"/>
    <mergeCell ref="F2:I2"/>
    <mergeCell ref="B19:I19"/>
  </mergeCells>
  <dataValidations count="3">
    <dataValidation type="list" allowBlank="1" showInputMessage="1" showErrorMessage="1" sqref="C15 C16 C17 C18 C4:C14">
      <formula1>"uuid,string,integer,long,double,float,boolean,date,timestamp,binary,clob,String[],Object[],byte[]"</formula1>
    </dataValidation>
    <dataValidation type="list" allowBlank="1" showInputMessage="1" showErrorMessage="1" sqref="F15 F16 F17 F18 F4:F14">
      <formula1>"Y,N"</formula1>
    </dataValidation>
    <dataValidation type="list" allowBlank="1" showInputMessage="1" showErrorMessage="1" sqref="E4:E14 E15:E18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I19"/>
  <sheetViews>
    <sheetView workbookViewId="0">
      <selection activeCell="B13" sqref="B13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32</v>
      </c>
      <c r="C2" s="4"/>
      <c r="D2" s="4"/>
      <c r="E2" s="3" t="s">
        <v>69</v>
      </c>
      <c r="F2" s="3" t="s">
        <v>33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81</v>
      </c>
      <c r="B4" s="6" t="s">
        <v>82</v>
      </c>
      <c r="C4" s="7" t="s">
        <v>83</v>
      </c>
      <c r="D4" s="6">
        <v>36</v>
      </c>
      <c r="E4" s="7" t="s">
        <v>78</v>
      </c>
      <c r="F4" s="7" t="s">
        <v>79</v>
      </c>
      <c r="G4" s="7"/>
      <c r="H4" s="10"/>
      <c r="I4" s="6" t="s">
        <v>80</v>
      </c>
    </row>
    <row r="5" spans="1:9">
      <c r="A5" s="6" t="s">
        <v>220</v>
      </c>
      <c r="B5" s="6" t="s">
        <v>221</v>
      </c>
      <c r="C5" s="7" t="s">
        <v>101</v>
      </c>
      <c r="D5" s="6">
        <v>20</v>
      </c>
      <c r="E5" s="7" t="s">
        <v>102</v>
      </c>
      <c r="F5" s="7" t="s">
        <v>79</v>
      </c>
      <c r="G5" s="7"/>
      <c r="H5" s="7"/>
      <c r="I5" s="6"/>
    </row>
    <row r="6" spans="1:9">
      <c r="A6" s="6" t="s">
        <v>222</v>
      </c>
      <c r="B6" s="6" t="s">
        <v>223</v>
      </c>
      <c r="C6" s="7" t="s">
        <v>101</v>
      </c>
      <c r="D6" s="6">
        <v>20</v>
      </c>
      <c r="E6" s="7"/>
      <c r="F6" s="7"/>
      <c r="G6" s="7"/>
      <c r="H6" s="7"/>
      <c r="I6" s="6"/>
    </row>
    <row r="7" spans="1:9">
      <c r="A7" s="6" t="s">
        <v>224</v>
      </c>
      <c r="B7" s="6" t="s">
        <v>225</v>
      </c>
      <c r="C7" s="7" t="s">
        <v>83</v>
      </c>
      <c r="D7" s="6">
        <v>36</v>
      </c>
      <c r="E7" s="7"/>
      <c r="F7" s="7"/>
      <c r="G7" s="7"/>
      <c r="H7" s="7"/>
      <c r="I7" s="6"/>
    </row>
    <row r="8" spans="1:9">
      <c r="A8" s="6" t="s">
        <v>226</v>
      </c>
      <c r="B8" s="6" t="s">
        <v>227</v>
      </c>
      <c r="C8" s="7" t="s">
        <v>101</v>
      </c>
      <c r="D8" s="6">
        <v>32</v>
      </c>
      <c r="E8" s="7"/>
      <c r="F8" s="7" t="s">
        <v>228</v>
      </c>
      <c r="G8" s="7"/>
      <c r="H8" s="7"/>
      <c r="I8" s="6"/>
    </row>
    <row r="9" spans="1:9">
      <c r="A9" s="6" t="s">
        <v>229</v>
      </c>
      <c r="B9" s="6" t="s">
        <v>155</v>
      </c>
      <c r="C9" s="7" t="s">
        <v>93</v>
      </c>
      <c r="D9" s="6">
        <v>1</v>
      </c>
      <c r="E9" s="7"/>
      <c r="F9" s="7"/>
      <c r="G9" s="7"/>
      <c r="H9" s="7"/>
      <c r="I9" s="6" t="s">
        <v>187</v>
      </c>
    </row>
    <row r="10" spans="1:9">
      <c r="A10" s="6" t="s">
        <v>185</v>
      </c>
      <c r="B10" s="6" t="s">
        <v>124</v>
      </c>
      <c r="C10" s="7" t="s">
        <v>101</v>
      </c>
      <c r="D10" s="6">
        <v>4</v>
      </c>
      <c r="E10" s="7"/>
      <c r="F10" s="7"/>
      <c r="G10" s="7"/>
      <c r="H10" s="7"/>
      <c r="I10" s="6" t="s">
        <v>230</v>
      </c>
    </row>
    <row r="11" spans="1:9">
      <c r="A11" s="6" t="s">
        <v>231</v>
      </c>
      <c r="B11" s="6" t="s">
        <v>232</v>
      </c>
      <c r="C11" s="7" t="s">
        <v>93</v>
      </c>
      <c r="D11" s="6">
        <v>1</v>
      </c>
      <c r="E11" s="7"/>
      <c r="F11" s="7"/>
      <c r="G11" s="7"/>
      <c r="H11" s="7"/>
      <c r="I11" s="6"/>
    </row>
    <row r="12" spans="1:9">
      <c r="A12" s="6" t="s">
        <v>169</v>
      </c>
      <c r="B12" s="6" t="s">
        <v>170</v>
      </c>
      <c r="C12" s="7" t="s">
        <v>83</v>
      </c>
      <c r="D12" s="6">
        <v>36</v>
      </c>
      <c r="E12" s="7"/>
      <c r="F12" s="7"/>
      <c r="G12" s="7"/>
      <c r="H12" s="7" t="s">
        <v>171</v>
      </c>
      <c r="I12" s="7" t="s">
        <v>171</v>
      </c>
    </row>
    <row r="13" spans="1:9">
      <c r="A13" s="6" t="s">
        <v>233</v>
      </c>
      <c r="B13" s="6" t="s">
        <v>234</v>
      </c>
      <c r="C13" s="7" t="s">
        <v>101</v>
      </c>
      <c r="D13" s="6">
        <v>2</v>
      </c>
      <c r="E13" s="7"/>
      <c r="F13" s="7"/>
      <c r="G13" s="7"/>
      <c r="H13" s="7"/>
      <c r="I13" s="6" t="s">
        <v>235</v>
      </c>
    </row>
    <row r="14" ht="24" spans="1:9">
      <c r="A14" s="6" t="s">
        <v>236</v>
      </c>
      <c r="B14" s="6" t="s">
        <v>237</v>
      </c>
      <c r="C14" s="7" t="s">
        <v>101</v>
      </c>
      <c r="D14" s="6">
        <v>40</v>
      </c>
      <c r="E14" s="7"/>
      <c r="F14" s="7"/>
      <c r="G14" s="7"/>
      <c r="H14" s="7"/>
      <c r="I14" s="6"/>
    </row>
    <row r="15" spans="1:9">
      <c r="A15" s="11" t="s">
        <v>84</v>
      </c>
      <c r="B15" s="12" t="s">
        <v>85</v>
      </c>
      <c r="C15" s="13" t="s">
        <v>86</v>
      </c>
      <c r="D15" s="11"/>
      <c r="E15" s="13"/>
      <c r="F15" s="11" t="s">
        <v>79</v>
      </c>
      <c r="G15" s="14"/>
      <c r="H15" s="14"/>
      <c r="I15" s="12" t="s">
        <v>87</v>
      </c>
    </row>
    <row r="16" spans="1:9">
      <c r="A16" s="13" t="s">
        <v>88</v>
      </c>
      <c r="B16" s="13" t="s">
        <v>89</v>
      </c>
      <c r="C16" s="13" t="s">
        <v>86</v>
      </c>
      <c r="D16" s="11"/>
      <c r="E16" s="13"/>
      <c r="F16" s="11" t="s">
        <v>79</v>
      </c>
      <c r="G16" s="14"/>
      <c r="H16" s="14"/>
      <c r="I16" s="13" t="s">
        <v>90</v>
      </c>
    </row>
    <row r="17" ht="24" spans="1:9">
      <c r="A17" s="11" t="s">
        <v>91</v>
      </c>
      <c r="B17" s="13" t="s">
        <v>92</v>
      </c>
      <c r="C17" s="13" t="s">
        <v>93</v>
      </c>
      <c r="D17" s="11">
        <v>8</v>
      </c>
      <c r="E17" s="13"/>
      <c r="F17" s="11" t="s">
        <v>79</v>
      </c>
      <c r="G17" s="14"/>
      <c r="H17" s="14"/>
      <c r="I17" s="13" t="s">
        <v>94</v>
      </c>
    </row>
    <row r="18" ht="24" spans="1:9">
      <c r="A18" s="11" t="s">
        <v>95</v>
      </c>
      <c r="B18" s="13" t="s">
        <v>96</v>
      </c>
      <c r="C18" s="13" t="s">
        <v>93</v>
      </c>
      <c r="D18" s="11">
        <v>8</v>
      </c>
      <c r="E18" s="13"/>
      <c r="F18" s="11" t="s">
        <v>79</v>
      </c>
      <c r="G18" s="14"/>
      <c r="H18" s="14"/>
      <c r="I18" s="13" t="s">
        <v>97</v>
      </c>
    </row>
    <row r="19" ht="88" customHeight="1" spans="1:9">
      <c r="A19" s="8" t="s">
        <v>98</v>
      </c>
      <c r="B19" s="9"/>
      <c r="C19" s="9"/>
      <c r="D19" s="9"/>
      <c r="E19" s="9"/>
      <c r="F19" s="9"/>
      <c r="G19" s="9"/>
      <c r="H19" s="9"/>
      <c r="I19" s="9"/>
    </row>
  </sheetData>
  <mergeCells count="3">
    <mergeCell ref="B2:C2"/>
    <mergeCell ref="F2:I2"/>
    <mergeCell ref="B19:I19"/>
  </mergeCells>
  <dataValidations count="3">
    <dataValidation type="list" allowBlank="1" showInputMessage="1" showErrorMessage="1" sqref="C6 C15 C16 C17 C18 C4:C5 C7:C14">
      <formula1>"uuid,string,integer,long,double,float,boolean,date,timestamp,binary,clob,String[],Object[],byte[]"</formula1>
    </dataValidation>
    <dataValidation type="list" allowBlank="1" showInputMessage="1" showErrorMessage="1" sqref="E6 E4:E5 E7:E14 E15:E18">
      <formula1>"PK,UK,FK,PK|FK,FK|UK,UUK1,UUK2,UUK3,UUK4,UUK1|UUK2,UUK1|UUK2|UUK3,UUK1|UUK2|UUK3|UUK4,FK|UUK1,FK|UUK2"</formula1>
    </dataValidation>
    <dataValidation type="list" allowBlank="1" showInputMessage="1" showErrorMessage="1" sqref="F6 F15 F16 F17 F18 F4:F5 F7:F14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I8"/>
  <sheetViews>
    <sheetView workbookViewId="0">
      <selection activeCell="I7" sqref="I7"/>
    </sheetView>
  </sheetViews>
  <sheetFormatPr defaultColWidth="9" defaultRowHeight="14.25" outlineLevelRow="7"/>
  <cols>
    <col min="1" max="1" width="12" customWidth="1"/>
    <col min="2" max="2" width="13.75" customWidth="1"/>
    <col min="3" max="3" width="9.7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34</v>
      </c>
      <c r="C2" s="4"/>
      <c r="D2" s="4"/>
      <c r="E2" s="3" t="s">
        <v>69</v>
      </c>
      <c r="F2" s="3" t="s">
        <v>35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238</v>
      </c>
      <c r="B4" s="6" t="s">
        <v>221</v>
      </c>
      <c r="C4" s="7" t="s">
        <v>83</v>
      </c>
      <c r="D4" s="6">
        <v>36</v>
      </c>
      <c r="E4" s="7" t="s">
        <v>239</v>
      </c>
      <c r="F4" s="7"/>
      <c r="G4" s="7"/>
      <c r="H4" s="7" t="s">
        <v>240</v>
      </c>
      <c r="I4" s="6"/>
    </row>
    <row r="5" spans="1:9">
      <c r="A5" s="6" t="s">
        <v>188</v>
      </c>
      <c r="B5" s="6" t="s">
        <v>189</v>
      </c>
      <c r="C5" s="7" t="s">
        <v>83</v>
      </c>
      <c r="D5" s="6">
        <v>36</v>
      </c>
      <c r="E5" s="7" t="s">
        <v>239</v>
      </c>
      <c r="F5" s="7"/>
      <c r="G5" s="7"/>
      <c r="H5" s="7" t="s">
        <v>190</v>
      </c>
      <c r="I5" s="6"/>
    </row>
    <row r="6" spans="1:9">
      <c r="A6" s="6" t="s">
        <v>241</v>
      </c>
      <c r="B6" s="6" t="s">
        <v>242</v>
      </c>
      <c r="C6" s="7" t="s">
        <v>93</v>
      </c>
      <c r="D6" s="6">
        <v>1</v>
      </c>
      <c r="E6" s="7"/>
      <c r="F6" s="7"/>
      <c r="G6" s="7"/>
      <c r="H6" s="7"/>
      <c r="I6" s="6" t="s">
        <v>243</v>
      </c>
    </row>
    <row r="7" spans="1:9">
      <c r="A7" s="6" t="s">
        <v>185</v>
      </c>
      <c r="B7" s="6" t="s">
        <v>124</v>
      </c>
      <c r="C7" s="7" t="s">
        <v>101</v>
      </c>
      <c r="D7" s="6">
        <v>4</v>
      </c>
      <c r="E7" s="7"/>
      <c r="F7" s="7"/>
      <c r="G7" s="7"/>
      <c r="H7" s="7"/>
      <c r="I7" s="6" t="s">
        <v>244</v>
      </c>
    </row>
    <row r="8" ht="88" customHeight="1" spans="1:9">
      <c r="A8" s="8" t="s">
        <v>98</v>
      </c>
      <c r="B8" s="9"/>
      <c r="C8" s="9"/>
      <c r="D8" s="9"/>
      <c r="E8" s="9"/>
      <c r="F8" s="9"/>
      <c r="G8" s="9"/>
      <c r="H8" s="9"/>
      <c r="I8" s="9"/>
    </row>
  </sheetData>
  <mergeCells count="3">
    <mergeCell ref="B2:C2"/>
    <mergeCell ref="F2:I2"/>
    <mergeCell ref="B8:I8"/>
  </mergeCells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I6"/>
  <sheetViews>
    <sheetView workbookViewId="0">
      <selection activeCell="H4" sqref="H4"/>
    </sheetView>
  </sheetViews>
  <sheetFormatPr defaultColWidth="9" defaultRowHeight="14.25" outlineLevelRow="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37</v>
      </c>
      <c r="C2" s="4"/>
      <c r="D2" s="4"/>
      <c r="E2" s="3" t="s">
        <v>69</v>
      </c>
      <c r="F2" s="3" t="s">
        <v>38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238</v>
      </c>
      <c r="B4" s="6" t="s">
        <v>221</v>
      </c>
      <c r="C4" s="7" t="s">
        <v>83</v>
      </c>
      <c r="D4" s="6">
        <v>36</v>
      </c>
      <c r="E4" s="7" t="s">
        <v>131</v>
      </c>
      <c r="F4" s="7"/>
      <c r="G4" s="7"/>
      <c r="H4" s="7" t="s">
        <v>240</v>
      </c>
      <c r="I4" s="6"/>
    </row>
    <row r="5" spans="1:9">
      <c r="A5" s="6" t="s">
        <v>191</v>
      </c>
      <c r="B5" s="6" t="s">
        <v>192</v>
      </c>
      <c r="C5" s="7" t="s">
        <v>83</v>
      </c>
      <c r="D5" s="6">
        <v>36</v>
      </c>
      <c r="E5" s="7" t="s">
        <v>131</v>
      </c>
      <c r="F5" s="7"/>
      <c r="G5" s="7"/>
      <c r="H5" s="7" t="s">
        <v>193</v>
      </c>
      <c r="I5" s="6"/>
    </row>
    <row r="6" ht="88" customHeight="1" spans="1:9">
      <c r="A6" s="8" t="s">
        <v>98</v>
      </c>
      <c r="B6" s="9"/>
      <c r="C6" s="9"/>
      <c r="D6" s="9"/>
      <c r="E6" s="9"/>
      <c r="F6" s="9"/>
      <c r="G6" s="9"/>
      <c r="H6" s="9"/>
      <c r="I6" s="9"/>
    </row>
  </sheetData>
  <mergeCells count="3">
    <mergeCell ref="B2:C2"/>
    <mergeCell ref="F2:I2"/>
    <mergeCell ref="B6:I6"/>
  </mergeCells>
  <dataValidations count="3"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E4:E5">
      <formula1>"PK,UK,FK,PK|FK,FK|UK,UUK1,UUK2,UUK3,UUK4,UUK1|UUK2,UUK1|UUK2|UUK3,UUK1|UUK2|UUK3|UUK4,FK|UUK1,FK|UUK2"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I6"/>
  <sheetViews>
    <sheetView workbookViewId="0">
      <selection activeCell="A1" sqref="A1"/>
    </sheetView>
  </sheetViews>
  <sheetFormatPr defaultColWidth="9" defaultRowHeight="14.25" outlineLevelRow="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39</v>
      </c>
      <c r="C2" s="4"/>
      <c r="D2" s="4"/>
      <c r="E2" s="3" t="s">
        <v>69</v>
      </c>
      <c r="F2" s="3" t="s">
        <v>40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245</v>
      </c>
      <c r="B4" s="6" t="s">
        <v>221</v>
      </c>
      <c r="C4" s="7" t="s">
        <v>83</v>
      </c>
      <c r="D4" s="6">
        <v>36</v>
      </c>
      <c r="E4" s="7" t="s">
        <v>78</v>
      </c>
      <c r="F4" s="7"/>
      <c r="G4" s="7"/>
      <c r="H4" s="7"/>
      <c r="I4" s="6"/>
    </row>
    <row r="5" spans="1:9">
      <c r="A5" s="6" t="s">
        <v>246</v>
      </c>
      <c r="B5" s="6" t="s">
        <v>195</v>
      </c>
      <c r="C5" s="7" t="s">
        <v>83</v>
      </c>
      <c r="D5" s="6">
        <v>36</v>
      </c>
      <c r="E5" s="7"/>
      <c r="F5" s="7"/>
      <c r="G5" s="7"/>
      <c r="H5" s="7"/>
      <c r="I5" s="6"/>
    </row>
    <row r="6" ht="88" customHeight="1" spans="1:9">
      <c r="A6" s="8" t="s">
        <v>98</v>
      </c>
      <c r="B6" s="9"/>
      <c r="C6" s="9"/>
      <c r="D6" s="9"/>
      <c r="E6" s="9"/>
      <c r="F6" s="9"/>
      <c r="G6" s="9"/>
      <c r="H6" s="9"/>
      <c r="I6" s="9"/>
    </row>
  </sheetData>
  <mergeCells count="3">
    <mergeCell ref="B2:C2"/>
    <mergeCell ref="F2:I2"/>
    <mergeCell ref="B6:I6"/>
  </mergeCells>
  <dataValidations count="3"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E4:E5">
      <formula1>"PK,UK,FK,PK|FK,FK|UK,UUK1,UUK2,UUK3,UUK4,UUK1|UUK2,UUK1|UUK2|UUK3,UUK1|UUK2|UUK3|UUK4,FK|UUK1,FK|UUK2"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/>
  <dimension ref="A1:I11"/>
  <sheetViews>
    <sheetView workbookViewId="0">
      <selection activeCell="H10" sqref="H10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5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42</v>
      </c>
      <c r="C2" s="4"/>
      <c r="D2" s="4"/>
      <c r="E2" s="3" t="s">
        <v>69</v>
      </c>
      <c r="F2" s="3" t="s">
        <v>43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238</v>
      </c>
      <c r="B4" s="6" t="s">
        <v>221</v>
      </c>
      <c r="C4" s="7" t="s">
        <v>83</v>
      </c>
      <c r="D4" s="6">
        <v>36</v>
      </c>
      <c r="E4" s="7" t="s">
        <v>239</v>
      </c>
      <c r="F4" s="7" t="s">
        <v>79</v>
      </c>
      <c r="G4" s="7"/>
      <c r="H4" s="7" t="s">
        <v>240</v>
      </c>
      <c r="I4" s="6"/>
    </row>
    <row r="5" spans="1:9">
      <c r="A5" s="6" t="s">
        <v>246</v>
      </c>
      <c r="B5" s="6" t="s">
        <v>195</v>
      </c>
      <c r="C5" s="7" t="s">
        <v>83</v>
      </c>
      <c r="D5" s="6">
        <v>36</v>
      </c>
      <c r="E5" s="7" t="s">
        <v>239</v>
      </c>
      <c r="F5" s="7" t="s">
        <v>79</v>
      </c>
      <c r="G5" s="7"/>
      <c r="H5" s="7" t="s">
        <v>196</v>
      </c>
      <c r="I5" s="6"/>
    </row>
    <row r="6" spans="1:9">
      <c r="A6" s="16" t="s">
        <v>247</v>
      </c>
      <c r="B6" s="16" t="s">
        <v>248</v>
      </c>
      <c r="C6" s="16" t="s">
        <v>93</v>
      </c>
      <c r="D6" s="16">
        <v>1</v>
      </c>
      <c r="E6" s="17"/>
      <c r="F6" s="16"/>
      <c r="G6" s="18">
        <v>0</v>
      </c>
      <c r="H6" s="18"/>
      <c r="I6" s="17" t="s">
        <v>249</v>
      </c>
    </row>
    <row r="7" spans="1:9">
      <c r="A7" s="11" t="s">
        <v>84</v>
      </c>
      <c r="B7" s="12" t="s">
        <v>85</v>
      </c>
      <c r="C7" s="13" t="s">
        <v>86</v>
      </c>
      <c r="D7" s="11"/>
      <c r="E7" s="13"/>
      <c r="F7" s="11" t="s">
        <v>79</v>
      </c>
      <c r="G7" s="14"/>
      <c r="H7" s="14"/>
      <c r="I7" s="12" t="s">
        <v>87</v>
      </c>
    </row>
    <row r="8" spans="1:9">
      <c r="A8" s="13" t="s">
        <v>88</v>
      </c>
      <c r="B8" s="13" t="s">
        <v>89</v>
      </c>
      <c r="C8" s="13" t="s">
        <v>86</v>
      </c>
      <c r="D8" s="11"/>
      <c r="E8" s="13"/>
      <c r="F8" s="11" t="s">
        <v>79</v>
      </c>
      <c r="G8" s="14"/>
      <c r="H8" s="14"/>
      <c r="I8" s="13" t="s">
        <v>90</v>
      </c>
    </row>
    <row r="9" ht="24" spans="1:9">
      <c r="A9" s="11" t="s">
        <v>91</v>
      </c>
      <c r="B9" s="13" t="s">
        <v>92</v>
      </c>
      <c r="C9" s="13" t="s">
        <v>93</v>
      </c>
      <c r="D9" s="11">
        <v>8</v>
      </c>
      <c r="E9" s="13"/>
      <c r="F9" s="11" t="s">
        <v>79</v>
      </c>
      <c r="G9" s="14"/>
      <c r="H9" s="14"/>
      <c r="I9" s="13" t="s">
        <v>94</v>
      </c>
    </row>
    <row r="10" ht="24" spans="1:9">
      <c r="A10" s="11" t="s">
        <v>95</v>
      </c>
      <c r="B10" s="13" t="s">
        <v>96</v>
      </c>
      <c r="C10" s="13" t="s">
        <v>93</v>
      </c>
      <c r="D10" s="11">
        <v>8</v>
      </c>
      <c r="E10" s="13"/>
      <c r="F10" s="11" t="s">
        <v>79</v>
      </c>
      <c r="G10" s="14"/>
      <c r="H10" s="14"/>
      <c r="I10" s="13" t="s">
        <v>97</v>
      </c>
    </row>
    <row r="11" ht="88" customHeight="1" spans="1:9">
      <c r="A11" s="8" t="s">
        <v>98</v>
      </c>
      <c r="B11" s="9" t="s">
        <v>250</v>
      </c>
      <c r="C11" s="9"/>
      <c r="D11" s="9"/>
      <c r="E11" s="9"/>
      <c r="F11" s="9"/>
      <c r="G11" s="9"/>
      <c r="H11" s="9"/>
      <c r="I11" s="9"/>
    </row>
  </sheetData>
  <mergeCells count="3">
    <mergeCell ref="B2:C2"/>
    <mergeCell ref="F2:I2"/>
    <mergeCell ref="B11:I11"/>
  </mergeCells>
  <dataValidations count="3">
    <dataValidation type="list" allowBlank="1" showInputMessage="1" showErrorMessage="1" sqref="C6 C7 C8 C9 C10 C4:C5">
      <formula1>"uuid,string,integer,long,double,float,boolean,date,timestamp,binary,clob,String[],Object[],byte[]"</formula1>
    </dataValidation>
    <dataValidation type="list" allowBlank="1" showInputMessage="1" showErrorMessage="1" sqref="E6 E4:E5 E7:E10">
      <formula1>"PK,UK,FK,PK|FK,FK|UK,UUK1,UUK2,UUK3,UUK4,UUK1|UUK2,UUK1|UUK2|UUK3,UUK1|UUK2|UUK3|UUK4,FK|UUK1,FK|UUK2"</formula1>
    </dataValidation>
    <dataValidation type="list" allowBlank="1" showInputMessage="1" showErrorMessage="1" sqref="F6 F7 F8 F9 F10 F4:F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I11"/>
  <sheetViews>
    <sheetView workbookViewId="0">
      <selection activeCell="E5" sqref="E5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5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45</v>
      </c>
      <c r="C2" s="4"/>
      <c r="D2" s="4"/>
      <c r="E2" s="3" t="s">
        <v>69</v>
      </c>
      <c r="F2" s="3" t="s">
        <v>46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81</v>
      </c>
      <c r="B4" s="6" t="s">
        <v>82</v>
      </c>
      <c r="C4" s="7" t="s">
        <v>83</v>
      </c>
      <c r="D4" s="6">
        <v>36</v>
      </c>
      <c r="E4" s="7" t="s">
        <v>78</v>
      </c>
      <c r="F4" s="7" t="s">
        <v>79</v>
      </c>
      <c r="G4" s="7"/>
      <c r="H4" s="10"/>
      <c r="I4" s="6" t="s">
        <v>80</v>
      </c>
    </row>
    <row r="5" spans="1:9">
      <c r="A5" s="6" t="s">
        <v>251</v>
      </c>
      <c r="B5" s="6" t="s">
        <v>252</v>
      </c>
      <c r="C5" s="7" t="s">
        <v>101</v>
      </c>
      <c r="D5" s="6">
        <v>40</v>
      </c>
      <c r="E5" s="7"/>
      <c r="F5" s="7"/>
      <c r="G5" s="7"/>
      <c r="H5" s="7"/>
      <c r="I5" s="6"/>
    </row>
    <row r="6" spans="1:9">
      <c r="A6" s="6" t="s">
        <v>229</v>
      </c>
      <c r="B6" s="6" t="s">
        <v>155</v>
      </c>
      <c r="C6" s="7" t="s">
        <v>93</v>
      </c>
      <c r="D6" s="6">
        <v>1</v>
      </c>
      <c r="E6" s="7"/>
      <c r="F6" s="7"/>
      <c r="G6" s="7"/>
      <c r="H6" s="7"/>
      <c r="I6" s="6" t="s">
        <v>187</v>
      </c>
    </row>
    <row r="7" spans="1:9">
      <c r="A7" s="11" t="s">
        <v>84</v>
      </c>
      <c r="B7" s="12" t="s">
        <v>85</v>
      </c>
      <c r="C7" s="13" t="s">
        <v>86</v>
      </c>
      <c r="D7" s="11"/>
      <c r="E7" s="13"/>
      <c r="F7" s="11" t="s">
        <v>79</v>
      </c>
      <c r="G7" s="14"/>
      <c r="H7" s="14"/>
      <c r="I7" s="12" t="s">
        <v>87</v>
      </c>
    </row>
    <row r="8" spans="1:9">
      <c r="A8" s="13" t="s">
        <v>88</v>
      </c>
      <c r="B8" s="13" t="s">
        <v>89</v>
      </c>
      <c r="C8" s="13" t="s">
        <v>86</v>
      </c>
      <c r="D8" s="11"/>
      <c r="E8" s="13"/>
      <c r="F8" s="11" t="s">
        <v>79</v>
      </c>
      <c r="G8" s="14"/>
      <c r="H8" s="14"/>
      <c r="I8" s="13" t="s">
        <v>90</v>
      </c>
    </row>
    <row r="9" ht="24" spans="1:9">
      <c r="A9" s="11" t="s">
        <v>91</v>
      </c>
      <c r="B9" s="13" t="s">
        <v>92</v>
      </c>
      <c r="C9" s="13" t="s">
        <v>93</v>
      </c>
      <c r="D9" s="11">
        <v>8</v>
      </c>
      <c r="E9" s="13"/>
      <c r="F9" s="11" t="s">
        <v>79</v>
      </c>
      <c r="G9" s="14"/>
      <c r="H9" s="14"/>
      <c r="I9" s="13" t="s">
        <v>94</v>
      </c>
    </row>
    <row r="10" ht="24" spans="1:9">
      <c r="A10" s="11" t="s">
        <v>95</v>
      </c>
      <c r="B10" s="13" t="s">
        <v>96</v>
      </c>
      <c r="C10" s="13" t="s">
        <v>93</v>
      </c>
      <c r="D10" s="11">
        <v>8</v>
      </c>
      <c r="E10" s="13"/>
      <c r="F10" s="11" t="s">
        <v>79</v>
      </c>
      <c r="G10" s="14"/>
      <c r="H10" s="14"/>
      <c r="I10" s="13" t="s">
        <v>97</v>
      </c>
    </row>
    <row r="11" ht="88" customHeight="1" spans="1:9">
      <c r="A11" s="8" t="s">
        <v>98</v>
      </c>
      <c r="B11" s="9"/>
      <c r="C11" s="9"/>
      <c r="D11" s="9"/>
      <c r="E11" s="9"/>
      <c r="F11" s="9"/>
      <c r="G11" s="9"/>
      <c r="H11" s="9"/>
      <c r="I11" s="9"/>
    </row>
  </sheetData>
  <mergeCells count="3">
    <mergeCell ref="B2:C2"/>
    <mergeCell ref="F2:I2"/>
    <mergeCell ref="B11:I11"/>
  </mergeCells>
  <dataValidations count="3">
    <dataValidation type="list" allowBlank="1" showInputMessage="1" showErrorMessage="1" sqref="C7 C8 C9 C10 C4:C6">
      <formula1>"uuid,string,integer,long,double,float,boolean,date,timestamp,binary,clob,String[],Object[],byte[]"</formula1>
    </dataValidation>
    <dataValidation type="list" allowBlank="1" showInputMessage="1" showErrorMessage="1" sqref="F7 F8 F9 F10 F4:F6">
      <formula1>"Y,N"</formula1>
    </dataValidation>
    <dataValidation type="list" allowBlank="1" showInputMessage="1" showErrorMessage="1" sqref="E4:E6 E7:E10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I6"/>
  <sheetViews>
    <sheetView workbookViewId="0">
      <selection activeCell="A1" sqref="A1"/>
    </sheetView>
  </sheetViews>
  <sheetFormatPr defaultColWidth="9" defaultRowHeight="14.25" outlineLevelRow="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47</v>
      </c>
      <c r="C2" s="4"/>
      <c r="D2" s="4"/>
      <c r="E2" s="3" t="s">
        <v>69</v>
      </c>
      <c r="F2" s="3" t="s">
        <v>48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238</v>
      </c>
      <c r="B4" s="6" t="s">
        <v>221</v>
      </c>
      <c r="C4" s="7" t="s">
        <v>83</v>
      </c>
      <c r="D4" s="6">
        <v>36</v>
      </c>
      <c r="E4" s="7" t="s">
        <v>131</v>
      </c>
      <c r="F4" s="7"/>
      <c r="G4" s="7"/>
      <c r="H4" s="7" t="s">
        <v>240</v>
      </c>
      <c r="I4" s="6"/>
    </row>
    <row r="5" spans="1:9">
      <c r="A5" s="6" t="s">
        <v>191</v>
      </c>
      <c r="B5" s="6" t="s">
        <v>253</v>
      </c>
      <c r="C5" s="7" t="s">
        <v>83</v>
      </c>
      <c r="D5" s="6">
        <v>36</v>
      </c>
      <c r="E5" s="7" t="s">
        <v>131</v>
      </c>
      <c r="F5" s="7"/>
      <c r="G5" s="7"/>
      <c r="H5" s="7" t="s">
        <v>254</v>
      </c>
      <c r="I5" s="6"/>
    </row>
    <row r="6" ht="88" customHeight="1" spans="1:9">
      <c r="A6" s="8" t="s">
        <v>98</v>
      </c>
      <c r="B6" s="9"/>
      <c r="C6" s="9"/>
      <c r="D6" s="9"/>
      <c r="E6" s="9"/>
      <c r="F6" s="9"/>
      <c r="G6" s="9"/>
      <c r="H6" s="9"/>
      <c r="I6" s="9"/>
    </row>
  </sheetData>
  <mergeCells count="3">
    <mergeCell ref="B2:C2"/>
    <mergeCell ref="F2:I2"/>
    <mergeCell ref="B6:I6"/>
  </mergeCells>
  <dataValidations count="3"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E4:E5">
      <formula1>"PK,UK,FK,PK|FK,FK|UK,UUK1,UUK2,UUK3,UUK4,UUK1|UUK2,UUK1|UUK2|UUK3,UUK1|UUK2|UUK3|UUK4,FK|UUK1,FK|UUK2"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I6"/>
  <sheetViews>
    <sheetView workbookViewId="0">
      <selection activeCell="A1" sqref="A1"/>
    </sheetView>
  </sheetViews>
  <sheetFormatPr defaultColWidth="9" defaultRowHeight="14.25" outlineLevelRow="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50</v>
      </c>
      <c r="C2" s="4"/>
      <c r="D2" s="4"/>
      <c r="E2" s="3" t="s">
        <v>69</v>
      </c>
      <c r="F2" s="3" t="s">
        <v>51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255</v>
      </c>
      <c r="B4" s="6" t="s">
        <v>253</v>
      </c>
      <c r="C4" s="7" t="s">
        <v>83</v>
      </c>
      <c r="D4" s="6">
        <v>36</v>
      </c>
      <c r="E4" s="7" t="s">
        <v>131</v>
      </c>
      <c r="F4" s="7"/>
      <c r="G4" s="7"/>
      <c r="H4" s="7" t="s">
        <v>254</v>
      </c>
      <c r="I4" s="6"/>
    </row>
    <row r="5" spans="1:9">
      <c r="A5" s="6" t="s">
        <v>256</v>
      </c>
      <c r="B5" s="6" t="s">
        <v>257</v>
      </c>
      <c r="C5" s="7" t="s">
        <v>83</v>
      </c>
      <c r="D5" s="6">
        <v>36</v>
      </c>
      <c r="E5" s="7" t="s">
        <v>131</v>
      </c>
      <c r="F5" s="7"/>
      <c r="G5" s="7"/>
      <c r="H5" s="7" t="s">
        <v>258</v>
      </c>
      <c r="I5" s="6"/>
    </row>
    <row r="6" ht="88" customHeight="1" spans="1:9">
      <c r="A6" s="8" t="s">
        <v>98</v>
      </c>
      <c r="B6" s="9"/>
      <c r="C6" s="9"/>
      <c r="D6" s="9"/>
      <c r="E6" s="9"/>
      <c r="F6" s="9"/>
      <c r="G6" s="9"/>
      <c r="H6" s="9"/>
      <c r="I6" s="9"/>
    </row>
  </sheetData>
  <mergeCells count="3">
    <mergeCell ref="B2:C2"/>
    <mergeCell ref="F2:I2"/>
    <mergeCell ref="B6:I6"/>
  </mergeCells>
  <dataValidations count="3"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E4:E5">
      <formula1>"PK,UK,FK,PK|FK,FK|UK,UUK1,UUK2,UUK3,UUK4,UUK1|UUK2,UUK1|UUK2|UUK3,UUK1|UUK2|UUK3|UUK4,FK|UUK1,FK|UUK2"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/>
  <dimension ref="A1:I6"/>
  <sheetViews>
    <sheetView workbookViewId="0">
      <selection activeCell="H10" sqref="H10"/>
    </sheetView>
  </sheetViews>
  <sheetFormatPr defaultColWidth="9" defaultRowHeight="14.25" outlineLevelRow="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5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53</v>
      </c>
      <c r="C2" s="4"/>
      <c r="D2" s="4"/>
      <c r="E2" s="3" t="s">
        <v>69</v>
      </c>
      <c r="F2" s="3" t="s">
        <v>54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238</v>
      </c>
      <c r="B4" s="6" t="s">
        <v>221</v>
      </c>
      <c r="C4" s="7" t="s">
        <v>83</v>
      </c>
      <c r="D4" s="6">
        <v>36</v>
      </c>
      <c r="E4" s="7" t="s">
        <v>239</v>
      </c>
      <c r="F4" s="7"/>
      <c r="G4" s="7"/>
      <c r="H4" s="7" t="s">
        <v>240</v>
      </c>
      <c r="I4" s="6"/>
    </row>
    <row r="5" spans="1:9">
      <c r="A5" s="6" t="s">
        <v>194</v>
      </c>
      <c r="B5" s="6" t="s">
        <v>195</v>
      </c>
      <c r="C5" s="7" t="s">
        <v>83</v>
      </c>
      <c r="D5" s="6">
        <v>36</v>
      </c>
      <c r="E5" s="7" t="s">
        <v>239</v>
      </c>
      <c r="F5" s="7"/>
      <c r="G5" s="7"/>
      <c r="H5" s="7" t="s">
        <v>196</v>
      </c>
      <c r="I5" s="6"/>
    </row>
    <row r="6" ht="88" customHeight="1" spans="1:9">
      <c r="A6" s="8" t="s">
        <v>98</v>
      </c>
      <c r="B6" s="9"/>
      <c r="C6" s="9"/>
      <c r="D6" s="9"/>
      <c r="E6" s="9"/>
      <c r="F6" s="9"/>
      <c r="G6" s="9"/>
      <c r="H6" s="9"/>
      <c r="I6" s="9"/>
    </row>
  </sheetData>
  <mergeCells count="3">
    <mergeCell ref="B2:C2"/>
    <mergeCell ref="F2:I2"/>
    <mergeCell ref="B6:I6"/>
  </mergeCells>
  <dataValidations count="3"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E4:E5">
      <formula1>"PK,UK,FK,PK|FK,FK|UK,UUK1,UUK2,UUK3,UUK4,UUK1|UUK2,UUK1|UUK2|UUK3,UUK1|UUK2|UUK3|UUK4,FK|UUK1,FK|UUK2"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I11"/>
  <sheetViews>
    <sheetView workbookViewId="0">
      <selection activeCell="A1" sqref="A1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55</v>
      </c>
      <c r="C2" s="4"/>
      <c r="D2" s="4"/>
      <c r="E2" s="3" t="s">
        <v>69</v>
      </c>
      <c r="F2" s="3" t="s">
        <v>56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81</v>
      </c>
      <c r="B4" s="6" t="s">
        <v>82</v>
      </c>
      <c r="C4" s="7" t="s">
        <v>83</v>
      </c>
      <c r="D4" s="6">
        <v>36</v>
      </c>
      <c r="E4" s="7" t="s">
        <v>78</v>
      </c>
      <c r="F4" s="7" t="s">
        <v>79</v>
      </c>
      <c r="G4" s="7"/>
      <c r="H4" s="10"/>
      <c r="I4" s="6" t="s">
        <v>80</v>
      </c>
    </row>
    <row r="5" spans="1:9">
      <c r="A5" s="6" t="s">
        <v>259</v>
      </c>
      <c r="B5" s="6" t="s">
        <v>260</v>
      </c>
      <c r="C5" s="7" t="s">
        <v>101</v>
      </c>
      <c r="D5" s="6"/>
      <c r="E5" s="7" t="s">
        <v>102</v>
      </c>
      <c r="F5" s="7"/>
      <c r="G5" s="7"/>
      <c r="H5" s="7"/>
      <c r="I5" s="6"/>
    </row>
    <row r="6" spans="1:9">
      <c r="A6" s="6" t="s">
        <v>261</v>
      </c>
      <c r="B6" s="6" t="s">
        <v>262</v>
      </c>
      <c r="C6" s="7" t="s">
        <v>101</v>
      </c>
      <c r="D6" s="6"/>
      <c r="E6" s="7"/>
      <c r="F6" s="7"/>
      <c r="G6" s="7"/>
      <c r="H6" s="7"/>
      <c r="I6" s="6"/>
    </row>
    <row r="7" spans="1:9">
      <c r="A7" s="11" t="s">
        <v>84</v>
      </c>
      <c r="B7" s="12" t="s">
        <v>85</v>
      </c>
      <c r="C7" s="13" t="s">
        <v>86</v>
      </c>
      <c r="D7" s="11"/>
      <c r="E7" s="13"/>
      <c r="F7" s="11" t="s">
        <v>79</v>
      </c>
      <c r="G7" s="14"/>
      <c r="H7" s="14"/>
      <c r="I7" s="12" t="s">
        <v>87</v>
      </c>
    </row>
    <row r="8" spans="1:9">
      <c r="A8" s="13" t="s">
        <v>88</v>
      </c>
      <c r="B8" s="13" t="s">
        <v>89</v>
      </c>
      <c r="C8" s="13" t="s">
        <v>86</v>
      </c>
      <c r="D8" s="11"/>
      <c r="E8" s="13"/>
      <c r="F8" s="11" t="s">
        <v>79</v>
      </c>
      <c r="G8" s="14"/>
      <c r="H8" s="14"/>
      <c r="I8" s="13" t="s">
        <v>90</v>
      </c>
    </row>
    <row r="9" ht="24" spans="1:9">
      <c r="A9" s="11" t="s">
        <v>91</v>
      </c>
      <c r="B9" s="13" t="s">
        <v>92</v>
      </c>
      <c r="C9" s="13" t="s">
        <v>93</v>
      </c>
      <c r="D9" s="11">
        <v>8</v>
      </c>
      <c r="E9" s="13"/>
      <c r="F9" s="11" t="s">
        <v>79</v>
      </c>
      <c r="G9" s="14"/>
      <c r="H9" s="14"/>
      <c r="I9" s="13" t="s">
        <v>94</v>
      </c>
    </row>
    <row r="10" ht="24" spans="1:9">
      <c r="A10" s="11" t="s">
        <v>95</v>
      </c>
      <c r="B10" s="13" t="s">
        <v>96</v>
      </c>
      <c r="C10" s="13" t="s">
        <v>93</v>
      </c>
      <c r="D10" s="11">
        <v>8</v>
      </c>
      <c r="E10" s="13"/>
      <c r="F10" s="11" t="s">
        <v>79</v>
      </c>
      <c r="G10" s="14"/>
      <c r="H10" s="14"/>
      <c r="I10" s="13" t="s">
        <v>97</v>
      </c>
    </row>
    <row r="11" ht="88" customHeight="1" spans="1:9">
      <c r="A11" s="8" t="s">
        <v>98</v>
      </c>
      <c r="B11" s="9"/>
      <c r="C11" s="9"/>
      <c r="D11" s="9"/>
      <c r="E11" s="9"/>
      <c r="F11" s="9"/>
      <c r="G11" s="9"/>
      <c r="H11" s="9"/>
      <c r="I11" s="9"/>
    </row>
  </sheetData>
  <mergeCells count="3">
    <mergeCell ref="B2:C2"/>
    <mergeCell ref="F2:I2"/>
    <mergeCell ref="B11:I11"/>
  </mergeCells>
  <dataValidations count="3">
    <dataValidation type="list" allowBlank="1" showInputMessage="1" showErrorMessage="1" sqref="C7 C8 C9 C10 C4:C6">
      <formula1>"uuid,string,integer,long,double,float,boolean,date,timestamp,binary,clob,String[],Object[],byte[]"</formula1>
    </dataValidation>
    <dataValidation type="list" allowBlank="1" showInputMessage="1" showErrorMessage="1" sqref="F7 F8 F9 F10 F4:F6">
      <formula1>"Y,N"</formula1>
    </dataValidation>
    <dataValidation type="list" allowBlank="1" showInputMessage="1" showErrorMessage="1" sqref="E4:E6 E7:E10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/>
  <dimension ref="A1:I6"/>
  <sheetViews>
    <sheetView workbookViewId="0">
      <selection activeCell="A1" sqref="A1"/>
    </sheetView>
  </sheetViews>
  <sheetFormatPr defaultColWidth="9" defaultRowHeight="14.25" outlineLevelRow="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57</v>
      </c>
      <c r="C2" s="4"/>
      <c r="D2" s="4"/>
      <c r="E2" s="3" t="s">
        <v>69</v>
      </c>
      <c r="F2" s="3" t="s">
        <v>58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263</v>
      </c>
      <c r="B4" s="6" t="s">
        <v>264</v>
      </c>
      <c r="C4" s="7" t="s">
        <v>83</v>
      </c>
      <c r="D4" s="6">
        <v>36</v>
      </c>
      <c r="E4" s="7" t="s">
        <v>131</v>
      </c>
      <c r="F4" s="7"/>
      <c r="G4" s="7"/>
      <c r="H4" s="7" t="s">
        <v>265</v>
      </c>
      <c r="I4" s="6" t="s">
        <v>80</v>
      </c>
    </row>
    <row r="5" spans="1:9">
      <c r="A5" s="6" t="s">
        <v>266</v>
      </c>
      <c r="B5" s="6" t="s">
        <v>267</v>
      </c>
      <c r="C5" s="7" t="s">
        <v>83</v>
      </c>
      <c r="D5" s="6">
        <v>36</v>
      </c>
      <c r="E5" s="7" t="s">
        <v>131</v>
      </c>
      <c r="F5" s="7"/>
      <c r="G5" s="7"/>
      <c r="H5" s="7" t="s">
        <v>196</v>
      </c>
      <c r="I5" s="6" t="s">
        <v>268</v>
      </c>
    </row>
    <row r="6" ht="88" customHeight="1" spans="1:9">
      <c r="A6" s="8" t="s">
        <v>98</v>
      </c>
      <c r="B6" s="9"/>
      <c r="C6" s="9"/>
      <c r="D6" s="9"/>
      <c r="E6" s="9"/>
      <c r="F6" s="9"/>
      <c r="G6" s="9"/>
      <c r="H6" s="9"/>
      <c r="I6" s="9"/>
    </row>
  </sheetData>
  <mergeCells count="3">
    <mergeCell ref="B2:C2"/>
    <mergeCell ref="F2:I2"/>
    <mergeCell ref="B6:I6"/>
  </mergeCells>
  <dataValidations count="3"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E4:E5">
      <formula1>"PK,UK,FK,PK|FK,FK|UK,UUK1,UUK2,UUK3,UUK4,UUK1|UUK2,UUK1|UUK2|UUK3,UUK1|UUK2|UUK3|UUK4,FK|UUK1,FK|UUK2"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/>
  <dimension ref="A1:I6"/>
  <sheetViews>
    <sheetView workbookViewId="0">
      <selection activeCell="A1" sqref="A1"/>
    </sheetView>
  </sheetViews>
  <sheetFormatPr defaultColWidth="9" defaultRowHeight="14.25" outlineLevelRow="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60</v>
      </c>
      <c r="C2" s="4"/>
      <c r="D2" s="4"/>
      <c r="E2" s="3" t="s">
        <v>69</v>
      </c>
      <c r="F2" s="3" t="s">
        <v>61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191</v>
      </c>
      <c r="B4" s="6" t="s">
        <v>192</v>
      </c>
      <c r="C4" s="7" t="s">
        <v>83</v>
      </c>
      <c r="D4" s="6">
        <v>36</v>
      </c>
      <c r="E4" s="7" t="s">
        <v>131</v>
      </c>
      <c r="F4" s="7"/>
      <c r="G4" s="7"/>
      <c r="H4" s="7" t="s">
        <v>193</v>
      </c>
      <c r="I4" s="6"/>
    </row>
    <row r="5" spans="1:9">
      <c r="A5" s="6" t="s">
        <v>269</v>
      </c>
      <c r="B5" s="6" t="s">
        <v>270</v>
      </c>
      <c r="C5" s="7" t="s">
        <v>83</v>
      </c>
      <c r="D5" s="6">
        <v>36</v>
      </c>
      <c r="E5" s="7" t="s">
        <v>131</v>
      </c>
      <c r="F5" s="7"/>
      <c r="G5" s="7"/>
      <c r="H5" s="7" t="s">
        <v>265</v>
      </c>
      <c r="I5" s="6"/>
    </row>
    <row r="6" ht="88" customHeight="1" spans="1:9">
      <c r="A6" s="8" t="s">
        <v>98</v>
      </c>
      <c r="B6" s="9"/>
      <c r="C6" s="9"/>
      <c r="D6" s="9"/>
      <c r="E6" s="9"/>
      <c r="F6" s="9"/>
      <c r="G6" s="9"/>
      <c r="H6" s="9"/>
      <c r="I6" s="9"/>
    </row>
  </sheetData>
  <mergeCells count="3">
    <mergeCell ref="B2:C2"/>
    <mergeCell ref="F2:I2"/>
    <mergeCell ref="B6:I6"/>
  </mergeCells>
  <dataValidations count="3"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E4:E5">
      <formula1>"PK,UK,FK,PK|FK,FK|UK,UUK1,UUK2,UUK3,UUK4,UUK1|UUK2,UUK1|UUK2|UUK3,UUK1|UUK2|UUK3|UUK4,FK|UUK1,FK|UUK2"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/>
  <dimension ref="A1:I6"/>
  <sheetViews>
    <sheetView workbookViewId="0">
      <selection activeCell="A1" sqref="A1"/>
    </sheetView>
  </sheetViews>
  <sheetFormatPr defaultColWidth="9" defaultRowHeight="14.25" outlineLevelRow="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1" customHeight="1" spans="1:9">
      <c r="A1" s="1" t="s">
        <v>67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68</v>
      </c>
      <c r="B2" s="4" t="s">
        <v>9</v>
      </c>
      <c r="C2" s="4"/>
      <c r="D2" s="4"/>
      <c r="E2" s="3" t="s">
        <v>69</v>
      </c>
      <c r="F2" s="3" t="s">
        <v>10</v>
      </c>
      <c r="G2" s="3"/>
      <c r="H2" s="3"/>
      <c r="I2" s="3"/>
    </row>
    <row r="3" ht="24" spans="1:9">
      <c r="A3" s="5" t="s">
        <v>70</v>
      </c>
      <c r="B3" s="5" t="s">
        <v>71</v>
      </c>
      <c r="C3" s="5" t="s">
        <v>72</v>
      </c>
      <c r="D3" s="5" t="s">
        <v>73</v>
      </c>
      <c r="E3" s="5" t="s">
        <v>74</v>
      </c>
      <c r="F3" s="5" t="s">
        <v>75</v>
      </c>
      <c r="G3" s="5" t="s">
        <v>76</v>
      </c>
      <c r="H3" s="5" t="s">
        <v>77</v>
      </c>
      <c r="I3" s="5" t="s">
        <v>5</v>
      </c>
    </row>
    <row r="4" spans="1:9">
      <c r="A4" s="6" t="s">
        <v>271</v>
      </c>
      <c r="B4" s="6" t="s">
        <v>271</v>
      </c>
      <c r="C4" s="7" t="s">
        <v>101</v>
      </c>
      <c r="D4" s="6">
        <v>60</v>
      </c>
      <c r="E4" s="7" t="s">
        <v>78</v>
      </c>
      <c r="F4" s="7"/>
      <c r="G4" s="7"/>
      <c r="H4" s="7"/>
      <c r="I4" s="6"/>
    </row>
    <row r="5" spans="1:9">
      <c r="A5" s="6" t="s">
        <v>82</v>
      </c>
      <c r="B5" s="6" t="s">
        <v>82</v>
      </c>
      <c r="C5" s="7" t="s">
        <v>272</v>
      </c>
      <c r="D5" s="6"/>
      <c r="E5" s="7"/>
      <c r="F5" s="7"/>
      <c r="G5" s="7"/>
      <c r="H5" s="7"/>
      <c r="I5" s="6"/>
    </row>
    <row r="6" ht="88" customHeight="1" spans="1:9">
      <c r="A6" s="8" t="s">
        <v>98</v>
      </c>
      <c r="B6" s="9"/>
      <c r="C6" s="9"/>
      <c r="D6" s="9"/>
      <c r="E6" s="9"/>
      <c r="F6" s="9"/>
      <c r="G6" s="9"/>
      <c r="H6" s="9"/>
      <c r="I6" s="9"/>
    </row>
  </sheetData>
  <mergeCells count="3">
    <mergeCell ref="B2:C2"/>
    <mergeCell ref="F2:I2"/>
    <mergeCell ref="B6:I6"/>
  </mergeCells>
  <dataValidations count="3"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E4:E5">
      <formula1>"PK,UK,FK,PK|FK,FK|UK,UUK1,UUK2,UUK3,UUK4,UUK1|UUK2,UUK1|UUK2|UUK3,UUK1|UUK2|UUK3|UUK4,FK|UUK1,FK|UUK2"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Office</Application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目录</vt:lpstr>
      <vt:lpstr>Template</vt:lpstr>
      <vt:lpstr>CORE_SCENE</vt:lpstr>
      <vt:lpstr>CORE_APPLICATION</vt:lpstr>
      <vt:lpstr>CORE_MENU</vt:lpstr>
      <vt:lpstr>CORE_ORGANIZATION</vt:lpstr>
      <vt:lpstr>CORE_ROLE</vt:lpstr>
      <vt:lpstr>CORE_ROLE_MENU</vt:lpstr>
      <vt:lpstr>CORE_ORGANIZATION_ROLE</vt:lpstr>
      <vt:lpstr>CORE_PERSONNEL</vt:lpstr>
      <vt:lpstr>CORE_ACCOUNT</vt:lpstr>
      <vt:lpstr>CORE_ACCOUNT_ORGANIZATION</vt:lpstr>
      <vt:lpstr>CORE_ACCOUNT_ROLE</vt:lpstr>
      <vt:lpstr>CORE_ACCOUNT_FIRSTPAGE</vt:lpstr>
      <vt:lpstr>CORE_ACCOUNT_MENU</vt:lpstr>
      <vt:lpstr>CORE_WORKGROUP</vt:lpstr>
      <vt:lpstr>CORE_ACCOUNT_WORKGROUP</vt:lpstr>
      <vt:lpstr>CORE_WORKGROUP_PERSONNEL</vt:lpstr>
      <vt:lpstr>CORE_SHORTCUT</vt:lpstr>
      <vt:lpstr>CORE_PORTAL</vt:lpstr>
      <vt:lpstr>CORE_PORTAL_FUNCTION</vt:lpstr>
      <vt:lpstr>CORE_ROLE_PORTAL</vt:lpstr>
      <vt:lpstr>CORE_PROXY_PRIMARY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wangbao</dc:creator>
  <cp:lastModifiedBy>wangbao</cp:lastModifiedBy>
  <dcterms:created xsi:type="dcterms:W3CDTF">2015-05-25T01:54:00Z</dcterms:created>
  <dcterms:modified xsi:type="dcterms:W3CDTF">2018-01-01T19:12:30Z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2052-10.1.0.7023</vt:lpwstr>
  </property>
  <property fmtid="{D5CDD505-2E9C-101B-9397-08002B2CF9AE}" pid="3" name="KSOReadingLayout">
    <vt:bool>false</vt:bool>
  </property>
</Properties>
</file>